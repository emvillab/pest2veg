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5cb5caba9a726130/Desktop/Group project/summarative/"/>
    </mc:Choice>
  </mc:AlternateContent>
  <xr:revisionPtr revIDLastSave="1" documentId="11_21C9280003A6A78036293B694D1D2835DBC6A081" xr6:coauthVersionLast="47" xr6:coauthVersionMax="47" xr10:uidLastSave="{ABFAADAC-BC72-438F-AB7A-117594A1FF6A}"/>
  <bookViews>
    <workbookView xWindow="-120" yWindow="-120" windowWidth="29040" windowHeight="15720" activeTab="4" xr2:uid="{00000000-000D-0000-FFFF-FFFF00000000}"/>
  </bookViews>
  <sheets>
    <sheet name="START HERE" sheetId="1" r:id="rId1"/>
    <sheet name="Project map" sheetId="2" r:id="rId2"/>
    <sheet name="Pest x Crop" sheetId="3" r:id="rId3"/>
    <sheet name="Pest x Symptom" sheetId="4" r:id="rId4"/>
    <sheet name="Pests" sheetId="5" r:id="rId5"/>
    <sheet name="Crops" sheetId="6" r:id="rId6"/>
    <sheet name="Symptoms" sheetId="7" r:id="rId7"/>
    <sheet name="Crop cards" sheetId="8" r:id="rId8"/>
    <sheet name="Work plan" sheetId="9" r:id="rId9"/>
    <sheet name="Photos" sheetId="10" r:id="rId10"/>
    <sheet name="References" sheetId="11" r:id="rId11"/>
    <sheet name="Size and colour"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3" i="8" l="1"/>
  <c r="G4" i="8" s="1"/>
  <c r="C20" i="7"/>
  <c r="C19" i="7"/>
  <c r="C18" i="7"/>
  <c r="C17" i="7"/>
  <c r="C16" i="7"/>
  <c r="C15" i="7"/>
  <c r="C14" i="7"/>
  <c r="C13" i="7"/>
  <c r="C12" i="7"/>
  <c r="C11" i="7"/>
  <c r="C10" i="7"/>
  <c r="C9" i="7"/>
  <c r="C8" i="7"/>
  <c r="C7" i="7"/>
  <c r="C6" i="7"/>
  <c r="C5" i="7"/>
  <c r="C9" i="6"/>
  <c r="D9" i="6" s="1"/>
  <c r="C8" i="6"/>
  <c r="D8" i="6" s="1"/>
  <c r="C7" i="6"/>
  <c r="D7" i="6" s="1"/>
  <c r="D6" i="6"/>
  <c r="C6" i="6"/>
  <c r="C5" i="6"/>
  <c r="D5" i="6" s="1"/>
  <c r="C4" i="6"/>
  <c r="D4" i="6" s="1"/>
  <c r="G15" i="5"/>
  <c r="G14" i="5"/>
  <c r="G13" i="5"/>
  <c r="G12" i="5"/>
  <c r="G11" i="5"/>
  <c r="G10" i="5"/>
  <c r="G9" i="5"/>
  <c r="G8" i="5"/>
  <c r="G7" i="5"/>
  <c r="G6" i="5"/>
  <c r="G5" i="5"/>
  <c r="G4" i="5"/>
  <c r="Q16" i="4"/>
  <c r="P16" i="4"/>
  <c r="O16" i="4"/>
  <c r="N16" i="4"/>
  <c r="M16" i="4"/>
  <c r="L16" i="4"/>
  <c r="K16" i="4"/>
  <c r="J16" i="4"/>
  <c r="I16" i="4"/>
  <c r="H16" i="4"/>
  <c r="G16" i="4"/>
  <c r="F16" i="4"/>
  <c r="E16" i="4"/>
  <c r="D16" i="4"/>
  <c r="C16" i="4"/>
  <c r="B16" i="4"/>
  <c r="R15" i="4"/>
  <c r="R14" i="4"/>
  <c r="R13" i="4"/>
  <c r="R12" i="4"/>
  <c r="R11" i="4"/>
  <c r="R10" i="4"/>
  <c r="R9" i="4"/>
  <c r="R8" i="4"/>
  <c r="R7" i="4"/>
  <c r="R6" i="4"/>
  <c r="R5" i="4"/>
  <c r="R4" i="4"/>
  <c r="G16" i="3"/>
  <c r="F16" i="3"/>
  <c r="E16" i="3"/>
  <c r="D16" i="3"/>
  <c r="C16" i="3"/>
  <c r="B16" i="3"/>
  <c r="H15" i="3"/>
  <c r="H14" i="3"/>
  <c r="H13" i="3"/>
  <c r="H12" i="3"/>
  <c r="H11" i="3"/>
  <c r="H10" i="3"/>
  <c r="H9" i="3"/>
  <c r="H8" i="3"/>
  <c r="H7" i="3"/>
  <c r="H6" i="3"/>
  <c r="H5" i="3"/>
  <c r="H4" i="3"/>
</calcChain>
</file>

<file path=xl/sharedStrings.xml><?xml version="1.0" encoding="utf-8"?>
<sst xmlns="http://schemas.openxmlformats.org/spreadsheetml/2006/main" count="924" uniqueCount="498">
  <si>
    <t>Pest2Veg: the one workbook we work from</t>
  </si>
  <si>
    <t>CPU4106 group project. UK vegetable growers. Supports UN SDG 2: Zero Hunger. Six-crop version: Tomato, Cabbage, Potato, Lettuce, Pepper, Cucumber. Checked 15 October 2026.</t>
  </si>
  <si>
    <t>What Pest2Veg does</t>
  </si>
  <si>
    <t>A grower picks a crop and the site shows a card for every pest recorded on that crop, each with a photo, what to look for, and a link to full management advice. It shows POSSIBLE pests only. It is not a diagnosis and it does not recognise pests from photos.</t>
  </si>
  <si>
    <t>What this workbook is</t>
  </si>
  <si>
    <t>The human-readable version of js/pests-data.js. If the website and this workbook disagree, fix the workbook or the data until they match.</t>
  </si>
  <si>
    <t>The one rule</t>
  </si>
  <si>
    <t>A link is only in here if a real source on the References sheet says so. Blank = not verified = not in the data. Never present an unverified claim as fact.</t>
  </si>
  <si>
    <t>Scope</t>
  </si>
  <si>
    <t>6 crops, 12 pests (11 insects, mites, molluscs and worms, plus pigeons), 16 symptom words, 18 sources. UK sources only (mostly the Royal Horticultural Society).</t>
  </si>
  <si>
    <t>How the site works in 3 layers</t>
  </si>
  <si>
    <t>DATA (what we know: pests-data.js, Olu) -&gt; LOGIC (pick the pests for the chosen crop: identify.js, Shafaqat) -&gt; PAGES (what the grower sees: html by Kamran, css by Ike).</t>
  </si>
  <si>
    <t>Known limits</t>
  </si>
  <si>
    <t>Pigeons are sourced for cabbage only: the RHS lettuce page mentions birds in general, not pigeons. Pigeons still need a photo. Potato cyst nematodes: the RHS gives symptoms for potatoes only, so the Tomato card borrows them. Some RHS pages loaded only partly. Photo licences still being checked.</t>
  </si>
  <si>
    <t>SHEET</t>
  </si>
  <si>
    <t>WHAT IT IS FOR</t>
  </si>
  <si>
    <t>Project map</t>
  </si>
  <si>
    <t>Every file in the project, who owns it, what it does</t>
  </si>
  <si>
    <t>Pest x Crop</t>
  </si>
  <si>
    <t>Which pest attacks which crop, with the source number</t>
  </si>
  <si>
    <t>Pest x Symptom</t>
  </si>
  <si>
    <t>What each pest looks like (its symptoms), with the source number</t>
  </si>
  <si>
    <t>Pests</t>
  </si>
  <si>
    <t>One row per pest: scientific name, size, colour, card line, summary, management, sources</t>
  </si>
  <si>
    <t>Crops</t>
  </si>
  <si>
    <t>Each crop, its pests, and whether coverage is thin</t>
  </si>
  <si>
    <t>Symptoms</t>
  </si>
  <si>
    <t>The 16 exact words used under What to look for, and how many pests have each</t>
  </si>
  <si>
    <t>Crop cards</t>
  </si>
  <si>
    <t>The cards the grower sees for each crop (replaces the old matching rules)</t>
  </si>
  <si>
    <t>Work plan</t>
  </si>
  <si>
    <t>Who does what next, with status</t>
  </si>
  <si>
    <t>Photos</t>
  </si>
  <si>
    <t>Photo credit and licence status per pest</t>
  </si>
  <si>
    <t>References</t>
  </si>
  <si>
    <t>All 18 sources with links</t>
  </si>
  <si>
    <t>Size and colour</t>
  </si>
  <si>
    <t>Where each size and colour value came from, with corrections</t>
  </si>
  <si>
    <t>Project map: every file, who owns it, what it does</t>
  </si>
  <si>
    <t>File or folder</t>
  </si>
  <si>
    <t>Owner</t>
  </si>
  <si>
    <t>Layer</t>
  </si>
  <si>
    <t>What it does</t>
  </si>
  <si>
    <t>index.html</t>
  </si>
  <si>
    <t>Kamran</t>
  </si>
  <si>
    <t>PAGE</t>
  </si>
  <si>
    <t>Home page: hero, features, grower news box, how identifying works</t>
  </si>
  <si>
    <t>gallery.html</t>
  </si>
  <si>
    <t>Pest Gallery: search box and two drop-downs, grid of pest cards</t>
  </si>
  <si>
    <t>identify.html</t>
  </si>
  <si>
    <t>Identify a Pest: crop tiles, then a card for each pest on the chosen crop</t>
  </si>
  <si>
    <t>pest.html</t>
  </si>
  <si>
    <t>One pest: key facts, crops, symptoms, management, look-alike, sources</t>
  </si>
  <si>
    <t>resources.html / about.html</t>
  </si>
  <si>
    <t>Guides and project information</t>
  </si>
  <si>
    <t>css/styles.css, css/news.css</t>
  </si>
  <si>
    <t>Ike</t>
  </si>
  <si>
    <t>LOOK</t>
  </si>
  <si>
    <t>All colours, layout and the phone-first responsive design</t>
  </si>
  <si>
    <t>assets/</t>
  </si>
  <si>
    <t>Ike (icons, logo) / Olu (photos)</t>
  </si>
  <si>
    <t>Logo, crop icons, pest pictures</t>
  </si>
  <si>
    <t>js/pests-data.js</t>
  </si>
  <si>
    <t>Olu</t>
  </si>
  <si>
    <t>DATA</t>
  </si>
  <si>
    <t>THE FACTS: cropIcons, allCrops, allSymptoms, pests[]</t>
  </si>
  <si>
    <t>js/matching.js</t>
  </si>
  <si>
    <t>Shafaqat</t>
  </si>
  <si>
    <t>LOGIC</t>
  </si>
  <si>
    <t>Old symptom-matching judge (findPests). Not needed now that cards replace matching. Keep filterPests only if the gallery still uses it</t>
  </si>
  <si>
    <t>js/identify.js</t>
  </si>
  <si>
    <t>Runs the Identify page: draws the crop tiles and, for the chosen crop, draws a pest card for each pest on it</t>
  </si>
  <si>
    <t>js/gallery.js</t>
  </si>
  <si>
    <t>Runs the Gallery page: draws cards, applies the search and filters</t>
  </si>
  <si>
    <t>js/pest-page.js</t>
  </si>
  <si>
    <t>Reads ?id=... from the address and fills in pest.html</t>
  </si>
  <si>
    <t>js/nav.js / js/news.js</t>
  </si>
  <si>
    <t>Kamran / Shafaqat</t>
  </si>
  <si>
    <t>Menu button on phones / the 5 grower news items</t>
  </si>
  <si>
    <t>tests/tests.html</t>
  </si>
  <si>
    <t>CHECK</t>
  </si>
  <si>
    <t>Automatic checks (README says 37). Catches misspelt crops and symptoms. Remove or update the matching tests</t>
  </si>
  <si>
    <t>docs/</t>
  </si>
  <si>
    <t>Olu / Marvis</t>
  </si>
  <si>
    <t>DOCS</t>
  </si>
  <si>
    <t>References, data fields, matching rules, credits, test checklist and results</t>
  </si>
  <si>
    <t>scripts/</t>
  </si>
  <si>
    <t>Marvis</t>
  </si>
  <si>
    <t>TOOLS</t>
  </si>
  <si>
    <t>Helper scripts (issues, setup, photo sheet)</t>
  </si>
  <si>
    <t>learning/</t>
  </si>
  <si>
    <t>each person</t>
  </si>
  <si>
    <t>PRIVATE</t>
  </si>
  <si>
    <t>Study notes. Ignored by Git, never published</t>
  </si>
  <si>
    <t>Green = pest attacks this crop. Number = source on the References sheet. Blank = not verified.</t>
  </si>
  <si>
    <t>Pest</t>
  </si>
  <si>
    <t>Tomato</t>
  </si>
  <si>
    <t>Cabbage</t>
  </si>
  <si>
    <t>Potato</t>
  </si>
  <si>
    <t>Lettuce</t>
  </si>
  <si>
    <t>Pepper</t>
  </si>
  <si>
    <t>Cucumber</t>
  </si>
  <si>
    <t>Count</t>
  </si>
  <si>
    <t>Aphids
(Aphidoidea)</t>
  </si>
  <si>
    <t>1</t>
  </si>
  <si>
    <t>14</t>
  </si>
  <si>
    <t>15</t>
  </si>
  <si>
    <t>Mealy Cabbage Aphid
(Brevicoryne brassicae)</t>
  </si>
  <si>
    <t>2, 12</t>
  </si>
  <si>
    <t>Glasshouse Whitefly
(Trialeurodes vaporariorum)</t>
  </si>
  <si>
    <t>3, 11</t>
  </si>
  <si>
    <t>3, 15</t>
  </si>
  <si>
    <t>3, 16</t>
  </si>
  <si>
    <t>Cabbage Caterpillars
(Pieris brassicae, P. rapae, P. napi, M)</t>
  </si>
  <si>
    <t>4, 12</t>
  </si>
  <si>
    <t>Cabbage Root Fly
(Delia radicum)</t>
  </si>
  <si>
    <t>5, 12</t>
  </si>
  <si>
    <t>Red Spider Mite
(Tetranychus urticae)</t>
  </si>
  <si>
    <t>6</t>
  </si>
  <si>
    <t>6, 15</t>
  </si>
  <si>
    <t>6, 16</t>
  </si>
  <si>
    <t>Thrips
(Thysanoptera)</t>
  </si>
  <si>
    <t>7</t>
  </si>
  <si>
    <t>Slugs and Snails
(Arion, Cornu, Deroceras, Limacus)</t>
  </si>
  <si>
    <t>12</t>
  </si>
  <si>
    <t>8, 13</t>
  </si>
  <si>
    <t>8, 14</t>
  </si>
  <si>
    <t>16</t>
  </si>
  <si>
    <t>Wireworms
(Agriotes)</t>
  </si>
  <si>
    <t>9, 13</t>
  </si>
  <si>
    <t>Potato Cyst Nematodes
(Globodera rostochiensis and G. pallida)</t>
  </si>
  <si>
    <t>10</t>
  </si>
  <si>
    <t>10, 13</t>
  </si>
  <si>
    <t>Cutworms
(Agrotis segetum)</t>
  </si>
  <si>
    <t>17, 13</t>
  </si>
  <si>
    <t>17, 14</t>
  </si>
  <si>
    <t>Pigeons
(Columba palumbus, C. livia)</t>
  </si>
  <si>
    <t>18, 12</t>
  </si>
  <si>
    <t>Green = pest causes this symptom. Number = source on the References sheet. Blank = not verified.</t>
  </si>
  <si>
    <t>Holes in leaves</t>
  </si>
  <si>
    <t>Small insects on leaves</t>
  </si>
  <si>
    <t>Caterpillars on leaves</t>
  </si>
  <si>
    <t>Sticky residue</t>
  </si>
  <si>
    <t>Black sooty mould</t>
  </si>
  <si>
    <t>Curled or distorted leaves</t>
  </si>
  <si>
    <t>Yellowing leaves</t>
  </si>
  <si>
    <t>Mottled leaves</t>
  </si>
  <si>
    <t>Silvery patches</t>
  </si>
  <si>
    <t>Fine webbing</t>
  </si>
  <si>
    <t>Stunted growth</t>
  </si>
  <si>
    <t>Wilting</t>
  </si>
  <si>
    <t>Tunnelled roots or tubers</t>
  </si>
  <si>
    <t>Slime trails</t>
  </si>
  <si>
    <t>Stems cut at soil level</t>
  </si>
  <si>
    <t>Torn or shredded leaves</t>
  </si>
  <si>
    <t>2</t>
  </si>
  <si>
    <t>3</t>
  </si>
  <si>
    <t>4</t>
  </si>
  <si>
    <t>5</t>
  </si>
  <si>
    <t>8</t>
  </si>
  <si>
    <t>9</t>
  </si>
  <si>
    <t>17</t>
  </si>
  <si>
    <t>18</t>
  </si>
  <si>
    <t>Pests: everything the pest page and card show</t>
  </si>
  <si>
    <t>id</t>
  </si>
  <si>
    <t>Scientific name</t>
  </si>
  <si>
    <t>Type</t>
  </si>
  <si>
    <t>No. of symptoms</t>
  </si>
  <si>
    <t>Card line (short summary)</t>
  </si>
  <si>
    <t>Size</t>
  </si>
  <si>
    <t>Colour</t>
  </si>
  <si>
    <t>Summary</t>
  </si>
  <si>
    <t>Management and prevention</t>
  </si>
  <si>
    <t>Sources</t>
  </si>
  <si>
    <t>aphids</t>
  </si>
  <si>
    <t>Aphids</t>
  </si>
  <si>
    <t>Aphidoidea (superfamily of true bugs, Hemiptera)</t>
  </si>
  <si>
    <t>Insect</t>
  </si>
  <si>
    <t>Tomato, Cucumber, Pepper, Lettuce</t>
  </si>
  <si>
    <t>Small insects on leaves, Sticky residue, Curled or distorted leaves, Stunted growth</t>
  </si>
  <si>
    <t>Small sap-sucking insects that stunt plants and curl or distort new growth.</t>
  </si>
  <si>
    <t>1 to 7 mm long</t>
  </si>
  <si>
    <t>Green (greenfly) or black (blackfly); some species yellow, pink, white or mottled</t>
  </si>
  <si>
    <t>Small sap-sucking insects that many predators eat. They can stunt plants and curl or distort new growth, spread plant viruses, and leave sticky honeydew on which black sooty mould grows.</t>
  </si>
  <si>
    <t>- Check often: look your plants over regularly so you can act before damage develops.
- Be patient: where you can, tolerate aphids. Ladybirds, hoverflies, ground beetles, parasitoid wasps and earwigs often bring them under control, especially if you wait a while early in the year.
- Squash small colonies between finger and thumb.
- Invite the helpers: encourage natural enemies into your garden.
- Tidy up: sticky honeydew and the sooty mould that grows on it are harmless and wipe off with a damp cloth.
- Watch for virus: destroy plants showing virus symptoms so the disease does not spread.
- Skip the sprays: the RHS advises against pesticides, even organic ones, because they also harm the natural enemies that keep aphids down.
- In greenhouses: hoverfly larvae, lacewing larvae and parasitoid wasps can be bought as biological control.</t>
  </si>
  <si>
    <t>RHS: Aphids (ref 1)</t>
  </si>
  <si>
    <t>mealy-cabbage-aphid</t>
  </si>
  <si>
    <t>Mealy Cabbage Aphid</t>
  </si>
  <si>
    <t>Brevicoryne brassicae</t>
  </si>
  <si>
    <t>Small insects on leaves, Yellowing leaves, Curled or distorted leaves</t>
  </si>
  <si>
    <t>Greyish-white aphids that cluster under cabbage leaves and on growing points.</t>
  </si>
  <si>
    <t>Up to 2.5 mm long</t>
  </si>
  <si>
    <t>Greyish-white, with a distinct whitish or 'mealy' appearance</t>
  </si>
  <si>
    <t>A sap-sucking aphid that clusters on the undersides of leaves and the growing points of cabbages and other brassicas. On young plants it can distort leaves and kill the growing point.</t>
  </si>
  <si>
    <t>- Check early: from spring, look over your brassicas often, especially young plants and kale, so you can act before a damaging colony builds up.
- Be patient: on established plants, small numbers can be tolerated where possible.
- Squash colonies between finger and thumb where practical.
- Invite the helpers: ladybirds, ground beetles, hoverflies, parasitoid wasps and earwigs all eat aphids. In spring, aphids often build up before these helpers are active, so early checks matter.
- Clear up: dispose of old brassica plants once they have finished cropping, to lower the risk for next season's plants.</t>
  </si>
  <si>
    <t>RHS: Mealy cabbage aphid (ref 2); RHS: How to grow cabbages (ref 12)</t>
  </si>
  <si>
    <t>glasshouse-whitefly</t>
  </si>
  <si>
    <t>Glasshouse Whitefly</t>
  </si>
  <si>
    <t>Trialeurodes vaporariorum</t>
  </si>
  <si>
    <t>Tomato, Cucumber, Pepper</t>
  </si>
  <si>
    <t>Small insects on leaves, Sticky residue, Black sooty mould</t>
  </si>
  <si>
    <t>Clouds of tiny white insects that fly up when plants are disturbed.</t>
  </si>
  <si>
    <t>Adults 1.5 mm; nymphs just over 1 mm</t>
  </si>
  <si>
    <t>Adults white; nymphs creamy white or whitish-green</t>
  </si>
  <si>
    <t>A sap-sucking insect that breeds quickly in warm glasshouses. Clouds of small white insects fly up when the plant is disturbed. Its sticky honeydew lets black sooty mould grow.</t>
  </si>
  <si>
    <t>- Check new plants: look them over for whitefly, and where possible keep them apart for a while before mixing them with your others.
- Cut down the hosts: remove unwanted plants from the glasshouse so whitefly have fewer places to live.
- Let in air: good ventilation slows sooty mould and helps keep down grey mould.
- Clean in winter: cleaning the glasshouse in winter reduces the whitefly that overwinter.
- Bring in a helper: the parasitic wasp Encarsia formosa is an established control, available by mail order. Introduce it early, because it cannot give instant control. Parasitised nymphs turn black, so you can see it working.
- Use traps for monitoring only: yellow sticky traps show you how many adults there are but do not control them. They also catch helpful wasps, so use them carefully.</t>
  </si>
  <si>
    <t>RHS: Glasshouse whitefly (ref 3)</t>
  </si>
  <si>
    <t>cabbage-caterpillars</t>
  </si>
  <si>
    <t>Cabbage Caterpillars</t>
  </si>
  <si>
    <t>Pieris brassicae, P. rapae, P. napi, Mamestra brassicae, Plutella xylostella</t>
  </si>
  <si>
    <t>Holes in leaves, Caterpillars on leaves</t>
  </si>
  <si>
    <t>Caterpillars that eat holes in cabbage and other brassica leaves.</t>
  </si>
  <si>
    <t>Large white: yellow and black with obvious hairs; small white: pale green with velvet-like hairs; cabbage moth: yellowish-green or brownish-green</t>
  </si>
  <si>
    <t>The caterpillars of several butterflies and moths that eat cabbages and other brassicas, leaving holes in the leaves. Some bore into the cabbage heart.</t>
  </si>
  <si>
    <t>- Check regularly: from spring onwards, look over your brassicas often.
- Net the crop: grow brassicas under fine netting or horticultural fleece so butterflies and moths cannot lay eggs on them. Keep the netting off the leaves, because adults can lay eggs through it.
- Pick them off: inspect plants regularly and remove pale yellow butterfly eggs, white round moth eggs and caterpillars by hand.
- Share a little: where you can, tolerate some caterpillars. They are food for many other creatures.
- Last resort: a pathogenic nematode product is sold for caterpillars. It can infect other animals, so use it only for a specific problem, in cool, dull or damp weather.</t>
  </si>
  <si>
    <t>RHS: Cabbage caterpillars (ref 4)</t>
  </si>
  <si>
    <t>cabbage-root-fly</t>
  </si>
  <si>
    <t>Cabbage Root Fly</t>
  </si>
  <si>
    <t>Delia radicum</t>
  </si>
  <si>
    <t>Wilting, Stunted growth, Tunnelled roots or tubers</t>
  </si>
  <si>
    <t>White maggots that tunnel into roots, so young plants grow slowly and wilt.</t>
  </si>
  <si>
    <t>Larvae up to 9 mm long</t>
  </si>
  <si>
    <t>White, legless and headless maggots</t>
  </si>
  <si>
    <t>The white maggots tunnel into the roots of cabbages and other brassicas. Young plants grow slowly, wilt and can die.</t>
  </si>
  <si>
    <t>- Check regularly: from spring onwards, look over your plants often.
- Collar new transplants: place a collar around the base of the stem, an 8 to 15 cm square or circle of carpet underlay or cardboard. It stops the female fly laying eggs on the soil next to the plant.
- Cover the crop: grow plants under insect-proof mesh. Fleece also works and suits seedbeds because it warms the soil. Keep it on all season.
- Rotate crops: flies can emerge from pupae that overwinter in the soil if the same crop is grown there year after year.
- Invite the helpers: birds, hedgehogs and ground and rove beetles eat the maggots.
- Last resort: a nematode product is sold for the larvae. It can also kill other species, so use it with care.</t>
  </si>
  <si>
    <t>RHS: Cabbage root fly (ref 5); RHS: How to grow cabbages (ref 12)</t>
  </si>
  <si>
    <t>red-spider-mite</t>
  </si>
  <si>
    <t>Red Spider Mite</t>
  </si>
  <si>
    <t>Tetranychus urticae</t>
  </si>
  <si>
    <t>Mite</t>
  </si>
  <si>
    <t>Mottled leaves, Fine webbing</t>
  </si>
  <si>
    <t>Tiny mites that mottle leaves and spin fine webbing in glasshouses.</t>
  </si>
  <si>
    <t>Up to 1 mm long</t>
  </si>
  <si>
    <t>Dark, becoming reddish-orange in autumn; mature females orange-red</t>
  </si>
  <si>
    <t>A sap-feeding mite, also called the two-spotted spider mite. It mottles leaves, can cause early leaf loss, and in bad attacks spins fine silk webbing.</t>
  </si>
  <si>
    <t>- Spray and humidify: regular spraying with water and high humidity help, but will not control the mite on their own.
- Avoid dry, crowded, hot glasshouses, which make the damage worse.
- Remove badly affected plants, especially in late summer, before the females go into hiding for winter.
- Winter clear-out: before spring, clear away plant debris, old canes, stakes and plant ties, where the mites overwinter. Clean the empty glasshouse thoroughly with glasshouse disinfectant.
- Keep weeds down in and around the glasshouse, because they can host the mite.
- Bring in helpers: the predatory mite Phytoseiulus persimilis is the most commonly used biological control. A predatory midge, Feltiella acarisuga, is also sold.</t>
  </si>
  <si>
    <t>RHS: Glasshouse red spider mite (ref 6)</t>
  </si>
  <si>
    <t>thrips</t>
  </si>
  <si>
    <t>Thrips</t>
  </si>
  <si>
    <t>Order Thysanoptera</t>
  </si>
  <si>
    <t>Tomato, Cucumber</t>
  </si>
  <si>
    <t>Silvery patches, Mottled leaves, Curled or distorted leaves, Stunted growth</t>
  </si>
  <si>
    <t>Narrow insects that leave silvery-white patches and mottling on leaves.</t>
  </si>
  <si>
    <t>Adults up to 2 mm long</t>
  </si>
  <si>
    <t>Yellowish-brown or blackish-brown adults; nymphs creamy yellow and paler</t>
  </si>
  <si>
    <t>Small, narrow insects that feed on sap from leaves and flowers. Damage shows as silvery-white patches and mottled leaves, and can distort shoot tips and buds.</t>
  </si>
  <si>
    <t>- Keep it in proportion: tolerate some damage where you can. The RHS notes that established outdoor shrubs usually survive even extensive silvery mottling.
- Invite the helpers: encourage natural enemies in the garden, such as the predatory bug Orius laevigatus.
- In glasshouses: biological controls are available, including predatory bugs and mites, and nematodes. They can affect other invertebrates, so use them with care.
- Blue sticky traps: hung above or among plants in a glasshouse, they help you monitor and reduce numbers.
- Not outdoors: do not use sticky traps outside, because they catch many harmless invertebrates.</t>
  </si>
  <si>
    <t>RHS: Thrips (ref 7)</t>
  </si>
  <si>
    <t>slugs-and-snails</t>
  </si>
  <si>
    <t>Slugs and Snails</t>
  </si>
  <si>
    <t>Genera Arion, Cornu, Deroceras, Limacus (class Gastropoda)</t>
  </si>
  <si>
    <t>Mollusc</t>
  </si>
  <si>
    <t>Lettuce, Cucumber, Potato, Cabbage</t>
  </si>
  <si>
    <t>Holes in leaves, Slime trails, Tunnelled roots or tubers</t>
  </si>
  <si>
    <t>Slugs and snails that eat holes in leaves and tunnel into roots and tubers.</t>
  </si>
  <si>
    <t>Gastropod molluscs common in UK gardens. Most eat dead plant material, but a few eat live plants. They feed at night and leave ragged holes in soft leaves and seedlings, slime trails, and holes tunnelled into potatoes.</t>
  </si>
  <si>
    <t>- Plant sturdy: use sturdy potted plantlets rather than tiny seedlings, and protect transplants with cloches.
- Water in the morning: evening watering creates ideal conditions for slugs to move about at night.
- Go on a night patrol: search by torchlight on mild, damp evenings and move slugs and snails well away from vulnerable plants.
- Try simple traps: upturned citrus or melon skins, or jars part-filled with beer. Empty them every morning.
- Invite the helpers: birds, frogs, toads, hedgehogs, slow-worms and ground beetles all eat slugs and snails.
- Winter clear-up: rake the soil and clear fallen leaves so birds can reach exposed eggs.
- Nematodes: a slug nematode (Phasmarhabditis hermaphrodita) can be used from spring to early autumn on moist, warm soil. It affects all slug species, including harmless ones, and is unlikely to work on snails.
- Barriers are not proven: an RHS study found that copper tape and bark mulch did not reduce slug damage.
- Skip the slug pellets: even organic ones have been shown to harm wildlife.
- Potatoes: lift maincrop tubers as soon as they are ready.</t>
  </si>
  <si>
    <t>RHS: Slugs and snails (ref 8)</t>
  </si>
  <si>
    <t>wireworms</t>
  </si>
  <si>
    <t>Wireworms</t>
  </si>
  <si>
    <t>Genus Agriotes (click beetle larvae)</t>
  </si>
  <si>
    <t>Soil-dwelling click beetle larvae that tunnel into potato tubers.</t>
  </si>
  <si>
    <t>Up to 25 mm long</t>
  </si>
  <si>
    <t>Yellowish-brown</t>
  </si>
  <si>
    <t>The larvae of click beetles. They live in the soil and eat plant roots, and tunnel into potato tubers. Problems are most common when grass is turned into a vegetable bed.</t>
  </si>
  <si>
    <t>- Stay calm: tolerate a few. Low numbers do not do much damage.
- Give it time: numbers usually fall within two years of cultivation, which matters most when grass is dug up for a vegetable bed.
- Dig it over: digging briefly exposes the grubs to birds and other predators.
- Invite the helpers: birds, wasps, hedgehogs and ground beetles all prey on wireworms.
- Pick them out: remove any wireworms you find in the soil.
- Last resort: the nematode Heterorhabditis bacteriophora is sold for wireworm control. Water it into moist soil at 12 to 20 degrees C (April to September) soon after buying, and repeat if needed. It can affect other soil insects, so use it where it is needed.</t>
  </si>
  <si>
    <t>RHS: Wireworms (ref 9); RHS: How to grow potatoes (ref 13)</t>
  </si>
  <si>
    <t>potato-cyst-nematodes</t>
  </si>
  <si>
    <t>Potato Cyst Nematodes</t>
  </si>
  <si>
    <t>Globodera rostochiensis and G. pallida</t>
  </si>
  <si>
    <t>Nematode</t>
  </si>
  <si>
    <t>Potato, Tomato</t>
  </si>
  <si>
    <t>Yellowing leaves, Wilting</t>
  </si>
  <si>
    <t>Microscopic soil worms that make potato plants grow poorly, turn yellow and wilt.</t>
  </si>
  <si>
    <t>Cysts under 1 mm in diameter</t>
  </si>
  <si>
    <t>White, yellow or chestnut brown</t>
  </si>
  <si>
    <t>Microscopic worm-like pests that feed on the roots of potatoes and related plants such as tomatoes. Patches of the crop grow poorly, turn yellow and wilt, and heavily infested plants give small tubers.</t>
  </si>
  <si>
    <t>- Rotate: do not grow potatoes or tomatoes in the same soil again and again. If you have a nematode problem, leave at least 5 to 6 years.
- Fill the gaps: growing non-host crops in between lets nematode numbers fall naturally.
- Lift on time: harvest potatoes as soon as the tubers are ready.
- Pull out volunteers: remove self-set potatoes in early summer, before the nematodes finish developing.
- Choose varieties wisely: some are resistant, such as Maris Piper and Valor (against golden cyst nematode). Tolerant ones such as Harmony and Lady Balfour (white cyst nematode) still give a worthwhile crop unless the soil is heavily infested. Keep rotating either way.
- Keep it clean: clean tools and shoes that have touched infested soil, and do not compost roots from affected plants.
- Tomato growers: never use soil from potato beds for greenhouse tomatoes. Use fresh soil, raised beds, growbags, ring culture or straw bales.
- Be realistic: you may never remove them completely, but you can reduce the worst effects.</t>
  </si>
  <si>
    <t>RHS: Potato cyst nematodes (ref 10)</t>
  </si>
  <si>
    <t>cutworms</t>
  </si>
  <si>
    <t>Cutworms</t>
  </si>
  <si>
    <t>Agrotis segetum (turnip moth), Noctua pronuba (large yellow underwing), Agrotis exclamationis (heart and dart moth)</t>
  </si>
  <si>
    <t>Insect (moth caterpillar)</t>
  </si>
  <si>
    <t>Lettuce, Potato</t>
  </si>
  <si>
    <t>Wilting, Stems cut at soil level</t>
  </si>
  <si>
    <t>Soil-dwelling moth caterpillars that chew through stems at ground level.</t>
  </si>
  <si>
    <t>Up to 40 mm long</t>
  </si>
  <si>
    <t>Greyish-brown, but can be pale green or creamy-white</t>
  </si>
  <si>
    <t>Soil-dwelling moth caterpillars that chew through the bases of stems at ground level and feed on lower leaves at night. Plants can wilt suddenly.</t>
  </si>
  <si>
    <t>- Check regularly: look over susceptible plants often so you can act before damage is serious.
- Accept a little damage where you can.
- Pick them out: remove caterpillars from the soil when you find them.
- Keep the plot well watered: young cutworms are vulnerable to rain and irrigation, and well-watered vegetable plots are often free of damage.
- Cover the crop: crops grown under fleece or insect-proof mesh are less likely to be affected.
- Watch the neglected corners: moths lay more eggs in dense vegetation, so overgrown areas and newly dug-up turf are more likely to have problems.
- Invite the helpers: digging briefly exposes the grubs to birds, and ladybirds, wasps and ground beetles also eat them.
- Last resort: a nematode mix (Fruit and Vegetable Protection) can be used, but it is not specific to cutworms. Water it into moist soil at 12 to 20 degrees C (April to September) and repeat if needed.</t>
  </si>
  <si>
    <t>RHS: Cutworms (ref 17)</t>
  </si>
  <si>
    <t>pigeons</t>
  </si>
  <si>
    <t>Pigeons</t>
  </si>
  <si>
    <t>Columba palumbus (wood pigeon) and C. livia (feral pigeon)</t>
  </si>
  <si>
    <t>Bird</t>
  </si>
  <si>
    <t>Birds that peck and tear leaves, sometimes leaving only the stalks and veins.</t>
  </si>
  <si>
    <t>Wood pigeons and feral pigeons peck at leaves and tear them, often leaving only the stalks and larger veins. Brassicas such as cabbages are at risk. They often visit early in the morning, so you may not see them feeding. Heavy grazing can stop brassicas growing, so they give no crop.</t>
  </si>
  <si>
    <t>- Spot it early: look for leaves that have been pecked and torn, sometimes with only the stalks and larger veins left. Pigeons often visit early in the morning, so you may not see them feeding.
- Net the crop: netting or a fruit cage is the only certain way to protect vulnerable plants from pigeons. For cabbages, fine mesh or insect-proof mesh on hoops or canes also protects against caterpillars, root fly and whitefly.
- Keep netting taut: check it regularly for holes, so that birds and other animals do not get trapped or injured.
- Do not rely on scarers: scaring devices and repellent substances give, at best, only temporary protection. A calcium chloride deterrent such as Grazers G1 may give some protection.
- Know the busy times: pigeons are about all year, most active in early summer while brassicas are growing. In winter they feed on brassicas, especially in snow or frost.
- Why it matters: heavy grazing can stop brassicas growing, so they give no crop.</t>
  </si>
  <si>
    <t>RHS: Pigeons (ref 18); RHS: How to grow cabbages (ref 12)</t>
  </si>
  <si>
    <t>Crops: which pest cards appear for each crop?</t>
  </si>
  <si>
    <t>Crop</t>
  </si>
  <si>
    <t>Pests that attack it</t>
  </si>
  <si>
    <t>Number of pests</t>
  </si>
  <si>
    <t>Status</t>
  </si>
  <si>
    <t>Note</t>
  </si>
  <si>
    <t>Aphids, Glasshouse Whitefly, Red Spider Mite, Thrips, Potato Cyst Nematodes</t>
  </si>
  <si>
    <t>Mealy Cabbage Aphid, Cabbage Caterpillars, Cabbage Root Fly, Slugs and Snails, Pigeons</t>
  </si>
  <si>
    <t>Pigeons are sourced on the RHS pigeons and cabbage pages (refs 18, 12).</t>
  </si>
  <si>
    <t>Slugs and Snails, Wireworms, Potato Cyst Nematodes, Cutworms</t>
  </si>
  <si>
    <t>Wireworms can only ever be Low (1 symptom).</t>
  </si>
  <si>
    <t>Aphids, Slugs and Snails, Cutworms</t>
  </si>
  <si>
    <t>Aphids, Glasshouse Whitefly, Red Spider Mite</t>
  </si>
  <si>
    <t>Aphids, Glasshouse Whitefly, Red Spider Mite, Thrips, Slugs and Snails</t>
  </si>
  <si>
    <t>Symptoms: the 16 exact words (shown on each card as What to look for)</t>
  </si>
  <si>
    <t>Spelling matters. The same words are used in pests-data.js and in the cards, and tests/tests.html checks them. With cards there is no scoring, so a symptom is just a description the grower reads and compares.</t>
  </si>
  <si>
    <t>Symptom (exact words)</t>
  </si>
  <si>
    <t>Pests that have it</t>
  </si>
  <si>
    <t>Where it came from</t>
  </si>
  <si>
    <t>Cabbage Caterpillars, Slugs and Snails</t>
  </si>
  <si>
    <t>RHS: caterpillars, slugs</t>
  </si>
  <si>
    <t>Aphids, Mealy Cabbage Aphid, Glasshouse Whitefly</t>
  </si>
  <si>
    <t>RHS: aphids, whitefly</t>
  </si>
  <si>
    <t>RHS: cabbage caterpillars</t>
  </si>
  <si>
    <t>Aphids, Glasshouse Whitefly</t>
  </si>
  <si>
    <t>RHS: honeydew</t>
  </si>
  <si>
    <t>RHS: whitefly</t>
  </si>
  <si>
    <t>Aphids, Mealy Cabbage Aphid, Thrips</t>
  </si>
  <si>
    <t>RHS: aphids, thrips</t>
  </si>
  <si>
    <t>Mealy Cabbage Aphid, Potato Cyst Nematodes</t>
  </si>
  <si>
    <t>RHS: mealy cabbage aphid, potato cyst nematodes</t>
  </si>
  <si>
    <t>Red Spider Mite, Thrips</t>
  </si>
  <si>
    <t>RHS: spider mite, thrips</t>
  </si>
  <si>
    <t>RHS: thrips</t>
  </si>
  <si>
    <t>RHS: spider mite</t>
  </si>
  <si>
    <t>Aphids, Cabbage Root Fly, Thrips</t>
  </si>
  <si>
    <t>RHS: aphids, thrips, cabbage root fly</t>
  </si>
  <si>
    <t>Cabbage Root Fly, Potato Cyst Nematodes, Cutworms</t>
  </si>
  <si>
    <t>RHS: root fly, cyst nematodes, cutworms</t>
  </si>
  <si>
    <t>Cabbage Root Fly, Slugs and Snails, Wireworms</t>
  </si>
  <si>
    <t>RHS: root fly, slugs, wireworms</t>
  </si>
  <si>
    <t>RHS: slugs</t>
  </si>
  <si>
    <t>RHS: cutworms</t>
  </si>
  <si>
    <t>RHS: pigeons, cabbages</t>
  </si>
  <si>
    <t>Crop cards: what the grower sees</t>
  </si>
  <si>
    <t>Generated from the Pests, Pest x Crop and Photos sheets. If the data changes, regenerate this sheet. The site shows these cards, nothing is scored or ranked. The wording is always 'possible pests', never a diagnosis.</t>
  </si>
  <si>
    <t>How a grower uses it</t>
  </si>
  <si>
    <t>Cards shown</t>
  </si>
  <si>
    <t>1. Tap your crop.</t>
  </si>
  <si>
    <t>Matches Crops sheet?</t>
  </si>
  <si>
    <t>2. The page shows one card for every pest recorded on that crop.</t>
  </si>
  <si>
    <t>3. Read 'What to look for' and compare the photo with what you can see.</t>
  </si>
  <si>
    <t>Pest card</t>
  </si>
  <si>
    <t>Card line</t>
  </si>
  <si>
    <t>What to look for</t>
  </si>
  <si>
    <t>Photo status</t>
  </si>
  <si>
    <t>Open licence, credit needed</t>
  </si>
  <si>
    <t>Free to use</t>
  </si>
  <si>
    <t>NOT confirmed open</t>
  </si>
  <si>
    <t>NOT an open licence</t>
  </si>
  <si>
    <t>-</t>
  </si>
  <si>
    <t>NEEDS A PHOTO</t>
  </si>
  <si>
    <t>Public domain (CC0)</t>
  </si>
  <si>
    <t>Work plan: who does what next</t>
  </si>
  <si>
    <t>#</t>
  </si>
  <si>
    <t>Task</t>
  </si>
  <si>
    <t>Why</t>
  </si>
  <si>
    <t>Priority</t>
  </si>
  <si>
    <t>Add Pigeons to js/pests-data.js: id pigeons, type Bird, crop Cabbage, symptom 'Torn or shredded leaves', sources refs 18 and 12. Size and colour stay blank (the RHS gives none)</t>
  </si>
  <si>
    <t>Pigeons are a pest in the workbook</t>
  </si>
  <si>
    <t>To do</t>
  </si>
  <si>
    <t>High</t>
  </si>
  <si>
    <t>Make the six-crop data: remove Strawberry, Spinach and Vine Weevil from allCrops, cropIcons and pests[]; remove 'Notched leaf edges' from allSymptoms; renumber the references to match the References sheet</t>
  </si>
  <si>
    <t>Six-crop version</t>
  </si>
  <si>
    <t>Check each of the 16 symptoms and 18 sources; correct anything the sources do not say</t>
  </si>
  <si>
    <t>Content owner sign-off</t>
  </si>
  <si>
    <t>Potato cyst nematodes on the Tomato card: the RHS gives symptoms for potatoes only. Add a line saying so, or accept it</t>
  </si>
  <si>
    <t>Do not claim tomato symptoms the source does not give</t>
  </si>
  <si>
    <t>Medium</t>
  </si>
  <si>
    <t>Confirm photo licences and credits; replace non-open ones; eyeball every photo against its scientific name; find an open-licence Pigeon photo</t>
  </si>
  <si>
    <t>Public site needs permission and credit</t>
  </si>
  <si>
    <t>Replace the management text in js/pests-data.js with the new wording in Pests column L (rewritten from the RHS pages, 12 pests). Check each point against its page</t>
  </si>
  <si>
    <t>More complete, friendlier and accurate advice; sign-off still needed</t>
  </si>
  <si>
    <t>Olu / Kamran</t>
  </si>
  <si>
    <t>Look-alike panels: slugs leave a cavity inside the tuber, wireworms usually tunnel straight through (RHS wireworms page). Use it on both Potato cards</t>
  </si>
  <si>
    <t>Clear test growers can do</t>
  </si>
  <si>
    <t>allSymptoms updated to the exact words</t>
  </si>
  <si>
    <t>Verified in tests: every pest symptom exists in allSymptoms.</t>
  </si>
  <si>
    <t>Done 14 Oct</t>
  </si>
  <si>
    <t>Re-run tests/tests.html after the data change (README says 37)</t>
  </si>
  <si>
    <t>Catches misspelt crops and symptoms</t>
  </si>
  <si>
    <t>Check cropIcons has the 6 crops: Tomato, Cabbage, Potato, Lettuce, Pepper, Cucumber</t>
  </si>
  <si>
    <t>gallery.js: crop filter lists the 6 crops, type filter lists Insect, Mite, Mollusc, Nematode and Bird (the filter builds itself from allTypes)</t>
  </si>
  <si>
    <t>Pigeons are a Bird</t>
  </si>
  <si>
    <t>identify.js: replace findPests with a crop filter, e.g. pests.filter(p =&gt; p.crops.includes(chosenCrop)), and draw a card for each result. Remove the symptom ticking and the High/Medium/Low labels</t>
  </si>
  <si>
    <t>Cards replace matching</t>
  </si>
  <si>
    <t>Add the type 'Bird' to allTypes and the symptom 'Torn or shredded leaves' to allSymptoms</t>
  </si>
  <si>
    <t>Needed for Pigeons</t>
  </si>
  <si>
    <t>Remove or rewrite the tests that check High/Medium/Low matching; keep the tests that check crop and symptom spelling</t>
  </si>
  <si>
    <t>Matching no longer exists</t>
  </si>
  <si>
    <t>Check icons for the 6 crops; style the pest cards so they look good and read well on a phone</t>
  </si>
  <si>
    <t>Card layout</t>
  </si>
  <si>
    <t>identify.html: remove the symptom tick boxes, add an empty cards area under the crop tiles, keep the 'possible pests, not a diagnosis' note</t>
  </si>
  <si>
    <t>pest.html: show the look-alike panel for Wireworms; remove the draft note once verified</t>
  </si>
  <si>
    <t>Panel present and unhides only when a record has lookAlike.</t>
  </si>
  <si>
    <t>Update README link to this workbook; update docs/data-fields.md. Replace docs/matching-rules.md with a short 'how the cards work' note</t>
  </si>
  <si>
    <t>Master workbook is the main data file; matching is retired.</t>
  </si>
  <si>
    <t>In progress</t>
  </si>
  <si>
    <t>Everyone</t>
  </si>
  <si>
    <t>Learn the story of one click and be ready to explain it (viva): tap a crop, the code filters pests by that crop, a card is drawn for each</t>
  </si>
  <si>
    <t>Shared viva preparation</t>
  </si>
  <si>
    <t>Status options: To do / In progress / Done (add the date when finished, e.g. Done 14 Oct)</t>
  </si>
  <si>
    <t>Photos: credit and licence status</t>
  </si>
  <si>
    <t>As recorded in the team photo sheet (13 October). Not independently verified. Look at every photo and compare it with the scientific name.</t>
  </si>
  <si>
    <t>Licence and credit (as recorded)</t>
  </si>
  <si>
    <t>Check before publishing</t>
  </si>
  <si>
    <t>Aphidoidea</t>
  </si>
  <si>
    <t>CC BY-SA 2.5 - Andre Karwath</t>
  </si>
  <si>
    <t>Share-alike: credit and keep the same licence for the photo</t>
  </si>
  <si>
    <t>Educational, credit expected - UMass Amherst</t>
  </si>
  <si>
    <t>Ask permission or replace</t>
  </si>
  <si>
    <t>CC BY-SA 4.0 - Dr. Guido Bohne</t>
  </si>
  <si>
    <t>CC BY-SA 4.0 - Didier Descouens</t>
  </si>
  <si>
    <t>Species shown is Pieris brassicae (one of the five we list)</t>
  </si>
  <si>
    <t>CC BY 4.0 - Schlaghecken Josef</t>
  </si>
  <si>
    <t>Pexels License</t>
  </si>
  <si>
    <t>No credit required</t>
  </si>
  <si>
    <t>CC BY-SA 4.0 - Dave Kirkeby</t>
  </si>
  <si>
    <t>Replaced 14 Oct. Was a numbered figure plate from a paper, which no grower would recognise.</t>
  </si>
  <si>
    <t>Genera Arion, Cornu, Deroceras, Limacus</t>
  </si>
  <si>
    <t>CC BY-SA 4.0 - Rubbish computer</t>
  </si>
  <si>
    <t>Shows a slug only</t>
  </si>
  <si>
    <t>Genus Agriotes</t>
  </si>
  <si>
    <t>CC0 - ZATRIPPIT</t>
  </si>
  <si>
    <t>Replaced 14 Oct. Was a 1900s line-drawing plate. This shows the pale larva in soil.</t>
  </si>
  <si>
    <t>Government, credit expected - Business Queensland</t>
  </si>
  <si>
    <t>Photo shows cysts on roots. Check the photo rights, which are separate from the page. Australian source</t>
  </si>
  <si>
    <t>Agrotis segetum</t>
  </si>
  <si>
    <t>CC BY 3.0 US - W.M. Hantsbarger, Bugwood.org</t>
  </si>
  <si>
    <t>Genus level</t>
  </si>
  <si>
    <t>Columba palumbus, C. livia</t>
  </si>
  <si>
    <t>Not chosen yet</t>
  </si>
  <si>
    <t>Olu / Marvis: find an open-licence photo of a wood pigeon (ideally on or near a brassica), and record its licence and credit</t>
  </si>
  <si>
    <t>References (Harvard style)</t>
  </si>
  <si>
    <t>Ref</t>
  </si>
  <si>
    <t>Source</t>
  </si>
  <si>
    <t>Link</t>
  </si>
  <si>
    <t>Accessed</t>
  </si>
  <si>
    <t>Royal Horticultural Society (n.d.) Aphids.</t>
  </si>
  <si>
    <t>https://www.rhs.org.uk/biodiversity/aphids</t>
  </si>
  <si>
    <t>13-14 October 2026</t>
  </si>
  <si>
    <t>Royal Horticultural Society (n.d.) Mealy cabbage aphid.</t>
  </si>
  <si>
    <t>https://www.rhs.org.uk/biodiversity/mealy-cabbage-aphid</t>
  </si>
  <si>
    <t>Royal Horticultural Society (n.d.) Glasshouse whitefly.</t>
  </si>
  <si>
    <t>https://www.rhs.org.uk/biodiversity/glasshouse-whitefly</t>
  </si>
  <si>
    <t>Royal Horticultural Society (n.d.) Cabbage caterpillars.</t>
  </si>
  <si>
    <t>https://www.rhs.org.uk/biodiversity/cabbage-caterpillars</t>
  </si>
  <si>
    <t>Royal Horticultural Society (n.d.) Cabbage root fly.</t>
  </si>
  <si>
    <t>https://www.rhs.org.uk/biodiversity/cabbage-root-fly</t>
  </si>
  <si>
    <t>Royal Horticultural Society (n.d.) Glasshouse red spider mite.</t>
  </si>
  <si>
    <t>https://www.rhs.org.uk/biodiversity/glasshouse-red-spider-mite</t>
  </si>
  <si>
    <t>Royal Horticultural Society (n.d.) Thrips.</t>
  </si>
  <si>
    <t>https://www.rhs.org.uk/biodiversity/thrips</t>
  </si>
  <si>
    <t>Royal Horticultural Society (n.d.) Slugs and snails.</t>
  </si>
  <si>
    <t>https://www.rhs.org.uk/biodiversity/slugs-and-snails</t>
  </si>
  <si>
    <t>Royal Horticultural Society (n.d.) Wireworms.</t>
  </si>
  <si>
    <t>https://www.rhs.org.uk/biodiversity/wireworms</t>
  </si>
  <si>
    <t>Royal Horticultural Society (n.d.) Potato cyst nematodes.</t>
  </si>
  <si>
    <t>https://www.rhs.org.uk/biodiversity/potato-cyst-nematodes</t>
  </si>
  <si>
    <t>Royal Horticultural Society (n.d.) How to grow tomatoes.</t>
  </si>
  <si>
    <t>https://www.rhs.org.uk/vegetables/tomatoes/grow-your-own</t>
  </si>
  <si>
    <t>Royal Horticultural Society (n.d.) How to grow cabbages.</t>
  </si>
  <si>
    <t>https://www.rhs.org.uk/vegetables/cabbages/grow-your-own</t>
  </si>
  <si>
    <t>Royal Horticultural Society (n.d.) How to grow potatoes.</t>
  </si>
  <si>
    <t>https://www.rhs.org.uk/vegetables/potatoes/grow-your-own</t>
  </si>
  <si>
    <t>Royal Horticultural Society (n.d.) How to grow lettuces.</t>
  </si>
  <si>
    <t>https://www.rhs.org.uk/vegetables/lettuce/grow-your-own</t>
  </si>
  <si>
    <t>Royal Horticultural Society (n.d.) How to grow chilli peppers.</t>
  </si>
  <si>
    <t>https://www.rhs.org.uk/vegetables/chilli-pepper/grow-your-own</t>
  </si>
  <si>
    <t>Royal Horticultural Society (n.d.) How to grow cucumbers.</t>
  </si>
  <si>
    <t>https://www.rhs.org.uk/vegetables/cucumbers/grow-your-own</t>
  </si>
  <si>
    <t>Royal Horticultural Society (n.d.) Cutworms.</t>
  </si>
  <si>
    <t>https://www.rhs.org.uk/biodiversity/cutworms</t>
  </si>
  <si>
    <t>Royal Horticultural Society (n.d.) Pigeons.</t>
  </si>
  <si>
    <t>https://www.rhs.org.uk/biodiversity/pigeons</t>
  </si>
  <si>
    <t>15 October 2026</t>
  </si>
  <si>
    <t>Size and colour: where each value came from</t>
  </si>
  <si>
    <t>Sourced 14 Oct 2026 by Shafaqat Ali from the RHS page already cited in each</t>
  </si>
  <si>
    <t>pest's own sources field. No new reference was needed.</t>
  </si>
  <si>
    <t>Sourced and verified against the RHS page.</t>
  </si>
  <si>
    <t>(no value)</t>
  </si>
  <si>
    <t>No size: the RHS page gives no caterpillar length for Pieris brassicae, rapae or napi. The 1 cm on that page is the diamond-back moth, a different pest.</t>
  </si>
  <si>
    <t>No size and no colour: the RHS page gives neither, and our record covers the class Gastropoda, whose species run from under 1 mm to many centimetres.</t>
  </si>
  <si>
    <t>No size and no colour: the RHS pigeons page gives neither.</t>
  </si>
  <si>
    <t>Corrections</t>
  </si>
  <si>
    <t>Cabbage Caterpillars colour was 'Green with pale markings', Mealy Cabbage Aphid was 'Greyish-green and covered in waxy powder' and Glasshouse Whitefly size was '1-2 mm'. None of those matched the cited RHS page. Corrected 14 Oct. Red Spider Mite was clarified. See docs/decisions.md.</t>
  </si>
  <si>
    <t>Coverage</t>
  </si>
  <si>
    <t>Size on 9 of 12 pests; colour on 10 of 12.</t>
  </si>
  <si>
    <t>7 tests added, 37 in total, so these cannot silently go back to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</si>
</sst>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color rgb="FF14452A"/>
      <name val="Arial"/>
      <charset val="1"/>
    </font>
    <font>
      <sz val="9"/>
      <color rgb="FF555555"/>
      <name val="Arial"/>
      <charset val="1"/>
    </font>
    <font>
      <b/>
      <sz val="10"/>
      <name val="Arial"/>
      <charset val="1"/>
    </font>
    <font>
      <sz val="10"/>
      <name val="Arial"/>
      <charset val="1"/>
    </font>
    <font>
      <b/>
      <sz val="10"/>
      <color rgb="FFFFFFFF"/>
      <name val="Arial"/>
      <charset val="1"/>
    </font>
    <font>
      <b/>
      <sz val="9"/>
      <name val="Arial"/>
      <charset val="1"/>
    </font>
    <font>
      <b/>
      <sz val="11"/>
      <name val="Calibri"/>
      <charset val="1"/>
    </font>
  </fonts>
  <fills count="9">
    <fill>
      <patternFill patternType="none"/>
    </fill>
    <fill>
      <patternFill patternType="gray125"/>
    </fill>
    <fill>
      <patternFill patternType="solid">
        <fgColor rgb="FF1F7A3C"/>
        <bgColor rgb="FF008080"/>
      </patternFill>
    </fill>
    <fill>
      <patternFill patternType="solid">
        <fgColor rgb="FFFFF2CC"/>
        <bgColor rgb="FFF1F7F1"/>
      </patternFill>
    </fill>
    <fill>
      <patternFill patternType="solid">
        <fgColor rgb="FFDCE9F7"/>
        <bgColor rgb="FFD9EAD3"/>
      </patternFill>
    </fill>
    <fill>
      <patternFill patternType="solid">
        <fgColor rgb="FFD9EAD3"/>
        <bgColor rgb="FFC6EFCE"/>
      </patternFill>
    </fill>
    <fill>
      <patternFill patternType="solid">
        <fgColor rgb="FFF4CCCC"/>
        <bgColor rgb="FFD9EAD3"/>
      </patternFill>
    </fill>
    <fill>
      <patternFill patternType="solid">
        <fgColor rgb="FFF1F7F1"/>
        <bgColor rgb="FFFFFFFF"/>
      </patternFill>
    </fill>
    <fill>
      <patternFill patternType="solid">
        <fgColor rgb="FFC6EFCE"/>
        <bgColor rgb="FFD9EAD3"/>
      </patternFill>
    </fill>
  </fills>
  <borders count="2">
    <border>
      <left/>
      <right/>
      <top/>
      <bottom/>
      <diagonal/>
    </border>
    <border>
      <left style="thin">
        <color rgb="FFC3D6C9"/>
      </left>
      <right style="thin">
        <color rgb="FFC3D6C9"/>
      </right>
      <top style="thin">
        <color rgb="FFC3D6C9"/>
      </top>
      <bottom style="thin">
        <color rgb="FFC3D6C9"/>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5" fillId="2" borderId="1" xfId="0" applyFont="1" applyFill="1" applyBorder="1" applyAlignment="1">
      <alignment horizontal="center" vertical="center" wrapText="1"/>
    </xf>
    <xf numFmtId="0" fontId="4"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4" fillId="0" borderId="1" xfId="0" applyFont="1" applyBorder="1" applyAlignment="1">
      <alignment horizontal="center" vertical="top" wrapText="1"/>
    </xf>
    <xf numFmtId="0" fontId="6" fillId="0" borderId="1" xfId="0" applyFont="1" applyBorder="1" applyAlignment="1">
      <alignment horizontal="left" vertical="top" wrapText="1"/>
    </xf>
    <xf numFmtId="0" fontId="3" fillId="0" borderId="1" xfId="0" applyFont="1" applyBorder="1" applyAlignment="1">
      <alignment horizontal="center" vertical="top" wrapText="1"/>
    </xf>
    <xf numFmtId="0" fontId="4" fillId="7" borderId="1" xfId="0" applyFont="1" applyFill="1" applyBorder="1" applyAlignment="1">
      <alignment vertical="top" wrapText="1"/>
    </xf>
    <xf numFmtId="0" fontId="4" fillId="0" borderId="1" xfId="0" applyFont="1" applyBorder="1" applyAlignment="1">
      <alignment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7" fillId="0" borderId="0" xfId="0" applyFont="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F7A3C"/>
      <rgbColor rgb="FF000080"/>
      <rgbColor rgb="FF808000"/>
      <rgbColor rgb="FF800080"/>
      <rgbColor rgb="FF008080"/>
      <rgbColor rgb="FFC3D6C9"/>
      <rgbColor rgb="FF808080"/>
      <rgbColor rgb="FF9999FF"/>
      <rgbColor rgb="FF993366"/>
      <rgbColor rgb="FFFFF2CC"/>
      <rgbColor rgb="FFDCE9F7"/>
      <rgbColor rgb="FF660066"/>
      <rgbColor rgb="FFFF8080"/>
      <rgbColor rgb="FF0066CC"/>
      <rgbColor rgb="FFD9EAD3"/>
      <rgbColor rgb="FF000080"/>
      <rgbColor rgb="FFFF00FF"/>
      <rgbColor rgb="FFFFFF00"/>
      <rgbColor rgb="FF00FFFF"/>
      <rgbColor rgb="FF800080"/>
      <rgbColor rgb="FF800000"/>
      <rgbColor rgb="FF008080"/>
      <rgbColor rgb="FF0000FF"/>
      <rgbColor rgb="FF00CCFF"/>
      <rgbColor rgb="FFF1F7F1"/>
      <rgbColor rgb="FFC6EFCE"/>
      <rgbColor rgb="FFFFFF99"/>
      <rgbColor rgb="FF99CCFF"/>
      <rgbColor rgb="FFFF99CC"/>
      <rgbColor rgb="FFCC99FF"/>
      <rgbColor rgb="FFF4CCCC"/>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445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zoomScaleNormal="100" workbookViewId="0"/>
  </sheetViews>
  <sheetFormatPr defaultColWidth="8.7109375" defaultRowHeight="15" x14ac:dyDescent="0.25"/>
  <cols>
    <col min="1" max="1" width="30" customWidth="1"/>
    <col min="2" max="2" width="120" customWidth="1"/>
  </cols>
  <sheetData>
    <row r="1" spans="1:2" ht="17.25" customHeight="1" x14ac:dyDescent="0.25">
      <c r="A1" s="1" t="s">
        <v>0</v>
      </c>
    </row>
    <row r="2" spans="1:2" ht="15" customHeight="1" x14ac:dyDescent="0.25">
      <c r="A2" s="2" t="s">
        <v>1</v>
      </c>
    </row>
    <row r="4" spans="1:2" ht="23.25" customHeight="1" x14ac:dyDescent="0.25">
      <c r="A4" s="3" t="s">
        <v>2</v>
      </c>
      <c r="B4" s="4" t="s">
        <v>3</v>
      </c>
    </row>
    <row r="5" spans="1:2" ht="23.25" customHeight="1" x14ac:dyDescent="0.25">
      <c r="A5" s="3" t="s">
        <v>4</v>
      </c>
      <c r="B5" s="4" t="s">
        <v>5</v>
      </c>
    </row>
    <row r="6" spans="1:2" ht="23.25" customHeight="1" x14ac:dyDescent="0.25">
      <c r="A6" s="3" t="s">
        <v>6</v>
      </c>
      <c r="B6" s="4" t="s">
        <v>7</v>
      </c>
    </row>
    <row r="7" spans="1:2" ht="15" customHeight="1" x14ac:dyDescent="0.25">
      <c r="A7" s="3" t="s">
        <v>8</v>
      </c>
      <c r="B7" s="4" t="s">
        <v>9</v>
      </c>
    </row>
    <row r="8" spans="1:2" ht="23.25" customHeight="1" x14ac:dyDescent="0.25">
      <c r="A8" s="3" t="s">
        <v>10</v>
      </c>
      <c r="B8" s="4" t="s">
        <v>11</v>
      </c>
    </row>
    <row r="9" spans="1:2" ht="23.25" customHeight="1" x14ac:dyDescent="0.25">
      <c r="A9" s="3" t="s">
        <v>12</v>
      </c>
      <c r="B9" s="4" t="s">
        <v>13</v>
      </c>
    </row>
    <row r="11" spans="1:2" ht="15" customHeight="1" x14ac:dyDescent="0.25">
      <c r="A11" s="5" t="s">
        <v>14</v>
      </c>
      <c r="B11" s="5" t="s">
        <v>15</v>
      </c>
    </row>
    <row r="12" spans="1:2" ht="15" customHeight="1" x14ac:dyDescent="0.25">
      <c r="A12" s="3" t="s">
        <v>16</v>
      </c>
      <c r="B12" s="4" t="s">
        <v>17</v>
      </c>
    </row>
    <row r="13" spans="1:2" ht="15" customHeight="1" x14ac:dyDescent="0.25">
      <c r="A13" s="3" t="s">
        <v>18</v>
      </c>
      <c r="B13" s="4" t="s">
        <v>19</v>
      </c>
    </row>
    <row r="14" spans="1:2" ht="15" customHeight="1" x14ac:dyDescent="0.25">
      <c r="A14" s="3" t="s">
        <v>20</v>
      </c>
      <c r="B14" s="4" t="s">
        <v>21</v>
      </c>
    </row>
    <row r="15" spans="1:2" ht="15" customHeight="1" x14ac:dyDescent="0.25">
      <c r="A15" s="3" t="s">
        <v>22</v>
      </c>
      <c r="B15" s="4" t="s">
        <v>23</v>
      </c>
    </row>
    <row r="16" spans="1:2" ht="15" customHeight="1" x14ac:dyDescent="0.25">
      <c r="A16" s="3" t="s">
        <v>24</v>
      </c>
      <c r="B16" s="4" t="s">
        <v>25</v>
      </c>
    </row>
    <row r="17" spans="1:2" ht="15" customHeight="1" x14ac:dyDescent="0.25">
      <c r="A17" s="3" t="s">
        <v>26</v>
      </c>
      <c r="B17" s="4" t="s">
        <v>27</v>
      </c>
    </row>
    <row r="18" spans="1:2" ht="15" customHeight="1" x14ac:dyDescent="0.25">
      <c r="A18" s="3" t="s">
        <v>28</v>
      </c>
      <c r="B18" s="4" t="s">
        <v>29</v>
      </c>
    </row>
    <row r="19" spans="1:2" ht="15" customHeight="1" x14ac:dyDescent="0.25">
      <c r="A19" s="3" t="s">
        <v>30</v>
      </c>
      <c r="B19" s="4" t="s">
        <v>31</v>
      </c>
    </row>
    <row r="20" spans="1:2" ht="15" customHeight="1" x14ac:dyDescent="0.25">
      <c r="A20" s="3" t="s">
        <v>32</v>
      </c>
      <c r="B20" s="4" t="s">
        <v>33</v>
      </c>
    </row>
    <row r="21" spans="1:2" ht="15" customHeight="1" x14ac:dyDescent="0.25">
      <c r="A21" s="3" t="s">
        <v>34</v>
      </c>
      <c r="B21" s="4" t="s">
        <v>35</v>
      </c>
    </row>
    <row r="22" spans="1:2" ht="15" customHeight="1" x14ac:dyDescent="0.25">
      <c r="A22" s="3" t="s">
        <v>36</v>
      </c>
      <c r="B22" s="4" t="s">
        <v>37</v>
      </c>
    </row>
    <row r="23" spans="1:2" ht="15" customHeight="1" x14ac:dyDescent="0.25"/>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zoomScaleNormal="100" workbookViewId="0"/>
  </sheetViews>
  <sheetFormatPr defaultColWidth="8.7109375" defaultRowHeight="15" x14ac:dyDescent="0.25"/>
  <cols>
    <col min="1" max="1" width="32" customWidth="1"/>
    <col min="2" max="2" width="28" customWidth="1"/>
    <col min="3" max="3" width="10" customWidth="1"/>
    <col min="4" max="4" width="95" customWidth="1"/>
  </cols>
  <sheetData>
    <row r="1" spans="1:4" ht="17.25" customHeight="1" x14ac:dyDescent="0.25">
      <c r="A1" s="1" t="s">
        <v>38</v>
      </c>
    </row>
    <row r="3" spans="1:4" ht="15" customHeight="1" x14ac:dyDescent="0.25">
      <c r="A3" s="5" t="s">
        <v>39</v>
      </c>
      <c r="B3" s="5" t="s">
        <v>40</v>
      </c>
      <c r="C3" s="5" t="s">
        <v>41</v>
      </c>
      <c r="D3" s="5" t="s">
        <v>42</v>
      </c>
    </row>
    <row r="4" spans="1:4" ht="15" customHeight="1" x14ac:dyDescent="0.25">
      <c r="A4" s="4" t="s">
        <v>43</v>
      </c>
      <c r="B4" s="4" t="s">
        <v>44</v>
      </c>
      <c r="C4" s="6" t="s">
        <v>45</v>
      </c>
      <c r="D4" s="4" t="s">
        <v>46</v>
      </c>
    </row>
    <row r="5" spans="1:4" ht="15" customHeight="1" x14ac:dyDescent="0.25">
      <c r="A5" s="4" t="s">
        <v>47</v>
      </c>
      <c r="B5" s="4" t="s">
        <v>44</v>
      </c>
      <c r="C5" s="6" t="s">
        <v>45</v>
      </c>
      <c r="D5" s="4" t="s">
        <v>48</v>
      </c>
    </row>
    <row r="6" spans="1:4" ht="15" customHeight="1" x14ac:dyDescent="0.25">
      <c r="A6" s="4" t="s">
        <v>49</v>
      </c>
      <c r="B6" s="4" t="s">
        <v>44</v>
      </c>
      <c r="C6" s="6" t="s">
        <v>45</v>
      </c>
      <c r="D6" s="4" t="s">
        <v>50</v>
      </c>
    </row>
    <row r="7" spans="1:4" ht="15" customHeight="1" x14ac:dyDescent="0.25">
      <c r="A7" s="4" t="s">
        <v>51</v>
      </c>
      <c r="B7" s="4" t="s">
        <v>44</v>
      </c>
      <c r="C7" s="6" t="s">
        <v>45</v>
      </c>
      <c r="D7" s="4" t="s">
        <v>52</v>
      </c>
    </row>
    <row r="8" spans="1:4" ht="15" customHeight="1" x14ac:dyDescent="0.25">
      <c r="A8" s="4" t="s">
        <v>53</v>
      </c>
      <c r="B8" s="4" t="s">
        <v>44</v>
      </c>
      <c r="C8" s="6" t="s">
        <v>45</v>
      </c>
      <c r="D8" s="4" t="s">
        <v>54</v>
      </c>
    </row>
    <row r="9" spans="1:4" ht="15" customHeight="1" x14ac:dyDescent="0.25">
      <c r="A9" s="4" t="s">
        <v>55</v>
      </c>
      <c r="B9" s="4" t="s">
        <v>56</v>
      </c>
      <c r="C9" s="7" t="s">
        <v>57</v>
      </c>
      <c r="D9" s="4" t="s">
        <v>58</v>
      </c>
    </row>
    <row r="10" spans="1:4" ht="15" customHeight="1" x14ac:dyDescent="0.25">
      <c r="A10" s="4" t="s">
        <v>59</v>
      </c>
      <c r="B10" s="4" t="s">
        <v>60</v>
      </c>
      <c r="C10" s="7" t="s">
        <v>57</v>
      </c>
      <c r="D10" s="4" t="s">
        <v>61</v>
      </c>
    </row>
    <row r="11" spans="1:4" ht="15" customHeight="1" x14ac:dyDescent="0.25">
      <c r="A11" s="4" t="s">
        <v>62</v>
      </c>
      <c r="B11" s="4" t="s">
        <v>63</v>
      </c>
      <c r="C11" s="8" t="s">
        <v>64</v>
      </c>
      <c r="D11" s="4" t="s">
        <v>65</v>
      </c>
    </row>
    <row r="12" spans="1:4" ht="15" customHeight="1" x14ac:dyDescent="0.25">
      <c r="A12" s="4" t="s">
        <v>66</v>
      </c>
      <c r="B12" s="4" t="s">
        <v>67</v>
      </c>
      <c r="C12" s="8" t="s">
        <v>68</v>
      </c>
      <c r="D12" s="4" t="s">
        <v>69</v>
      </c>
    </row>
    <row r="13" spans="1:4" ht="15" customHeight="1" x14ac:dyDescent="0.25">
      <c r="A13" s="4" t="s">
        <v>70</v>
      </c>
      <c r="B13" s="4" t="s">
        <v>67</v>
      </c>
      <c r="C13" s="8" t="s">
        <v>68</v>
      </c>
      <c r="D13" s="4" t="s">
        <v>71</v>
      </c>
    </row>
    <row r="14" spans="1:4" ht="15" customHeight="1" x14ac:dyDescent="0.25">
      <c r="A14" s="4" t="s">
        <v>72</v>
      </c>
      <c r="B14" s="4" t="s">
        <v>67</v>
      </c>
      <c r="C14" s="8" t="s">
        <v>68</v>
      </c>
      <c r="D14" s="4" t="s">
        <v>73</v>
      </c>
    </row>
    <row r="15" spans="1:4" ht="15" customHeight="1" x14ac:dyDescent="0.25">
      <c r="A15" s="4" t="s">
        <v>74</v>
      </c>
      <c r="B15" s="4" t="s">
        <v>67</v>
      </c>
      <c r="C15" s="8" t="s">
        <v>68</v>
      </c>
      <c r="D15" s="4" t="s">
        <v>75</v>
      </c>
    </row>
    <row r="16" spans="1:4" ht="15" customHeight="1" x14ac:dyDescent="0.25">
      <c r="A16" s="4" t="s">
        <v>76</v>
      </c>
      <c r="B16" s="4" t="s">
        <v>77</v>
      </c>
      <c r="C16" s="8" t="s">
        <v>68</v>
      </c>
      <c r="D16" s="4" t="s">
        <v>78</v>
      </c>
    </row>
    <row r="17" spans="1:4" ht="15" customHeight="1" x14ac:dyDescent="0.25">
      <c r="A17" s="4" t="s">
        <v>79</v>
      </c>
      <c r="B17" s="4" t="s">
        <v>67</v>
      </c>
      <c r="C17" s="9" t="s">
        <v>80</v>
      </c>
      <c r="D17" s="4" t="s">
        <v>81</v>
      </c>
    </row>
    <row r="18" spans="1:4" ht="15" customHeight="1" x14ac:dyDescent="0.25">
      <c r="A18" s="4" t="s">
        <v>82</v>
      </c>
      <c r="B18" s="4" t="s">
        <v>83</v>
      </c>
      <c r="C18" s="10" t="s">
        <v>84</v>
      </c>
      <c r="D18" s="4" t="s">
        <v>85</v>
      </c>
    </row>
    <row r="19" spans="1:4" ht="15" customHeight="1" x14ac:dyDescent="0.25">
      <c r="A19" s="4" t="s">
        <v>86</v>
      </c>
      <c r="B19" s="4" t="s">
        <v>87</v>
      </c>
      <c r="C19" s="10" t="s">
        <v>88</v>
      </c>
      <c r="D19" s="4" t="s">
        <v>89</v>
      </c>
    </row>
    <row r="20" spans="1:4" ht="15" customHeight="1" x14ac:dyDescent="0.25">
      <c r="A20" s="4" t="s">
        <v>90</v>
      </c>
      <c r="B20" s="4" t="s">
        <v>91</v>
      </c>
      <c r="C20" s="10" t="s">
        <v>92</v>
      </c>
      <c r="D20" s="4" t="s">
        <v>93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
  <sheetViews>
    <sheetView zoomScaleNormal="100" workbookViewId="0">
      <pane xSplit="1" ySplit="3" topLeftCell="B4" activePane="bottomRight" state="frozen"/>
      <selection pane="topRight" activeCell="B1" sqref="B1"/>
      <selection pane="bottomLeft" activeCell="A4" sqref="A4"/>
      <selection pane="bottomRight"/>
    </sheetView>
  </sheetViews>
  <sheetFormatPr defaultColWidth="8.7109375" defaultRowHeight="15" x14ac:dyDescent="0.25"/>
  <cols>
    <col min="1" max="1" width="34" customWidth="1"/>
    <col min="2" max="10" width="13" customWidth="1"/>
  </cols>
  <sheetData>
    <row r="1" spans="1:8" ht="15" customHeight="1" x14ac:dyDescent="0.25">
      <c r="A1" s="2" t="s">
        <v>94</v>
      </c>
    </row>
    <row r="3" spans="1:8" ht="57.75" customHeight="1" x14ac:dyDescent="0.25">
      <c r="A3" s="5" t="s">
        <v>95</v>
      </c>
      <c r="B3" s="5" t="s">
        <v>96</v>
      </c>
      <c r="C3" s="5" t="s">
        <v>97</v>
      </c>
      <c r="D3" s="5" t="s">
        <v>98</v>
      </c>
      <c r="E3" s="5" t="s">
        <v>99</v>
      </c>
      <c r="F3" s="5" t="s">
        <v>100</v>
      </c>
      <c r="G3" s="5" t="s">
        <v>101</v>
      </c>
      <c r="H3" s="5" t="s">
        <v>102</v>
      </c>
    </row>
    <row r="4" spans="1:8" ht="21.75" customHeight="1" x14ac:dyDescent="0.25">
      <c r="A4" s="11" t="s">
        <v>103</v>
      </c>
      <c r="B4" s="8" t="s">
        <v>104</v>
      </c>
      <c r="C4" s="10"/>
      <c r="D4" s="10"/>
      <c r="E4" s="8" t="s">
        <v>105</v>
      </c>
      <c r="F4" s="8" t="s">
        <v>106</v>
      </c>
      <c r="G4" s="8" t="s">
        <v>104</v>
      </c>
      <c r="H4" s="10">
        <f t="shared" ref="H4:H15" si="0">COUNTA(B4:G4)</f>
        <v>4</v>
      </c>
    </row>
    <row r="5" spans="1:8" ht="21.75" customHeight="1" x14ac:dyDescent="0.25">
      <c r="A5" s="11" t="s">
        <v>107</v>
      </c>
      <c r="B5" s="10"/>
      <c r="C5" s="8" t="s">
        <v>108</v>
      </c>
      <c r="D5" s="10"/>
      <c r="E5" s="10"/>
      <c r="F5" s="10"/>
      <c r="G5" s="10"/>
      <c r="H5" s="10">
        <f t="shared" si="0"/>
        <v>1</v>
      </c>
    </row>
    <row r="6" spans="1:8" ht="21.75" customHeight="1" x14ac:dyDescent="0.25">
      <c r="A6" s="11" t="s">
        <v>109</v>
      </c>
      <c r="B6" s="8" t="s">
        <v>110</v>
      </c>
      <c r="C6" s="10"/>
      <c r="D6" s="10"/>
      <c r="E6" s="10"/>
      <c r="F6" s="8" t="s">
        <v>111</v>
      </c>
      <c r="G6" s="8" t="s">
        <v>112</v>
      </c>
      <c r="H6" s="10">
        <f t="shared" si="0"/>
        <v>3</v>
      </c>
    </row>
    <row r="7" spans="1:8" ht="21.75" customHeight="1" x14ac:dyDescent="0.25">
      <c r="A7" s="11" t="s">
        <v>113</v>
      </c>
      <c r="B7" s="10"/>
      <c r="C7" s="8" t="s">
        <v>114</v>
      </c>
      <c r="D7" s="10"/>
      <c r="E7" s="10"/>
      <c r="F7" s="10"/>
      <c r="G7" s="10"/>
      <c r="H7" s="10">
        <f t="shared" si="0"/>
        <v>1</v>
      </c>
    </row>
    <row r="8" spans="1:8" ht="21.75" customHeight="1" x14ac:dyDescent="0.25">
      <c r="A8" s="11" t="s">
        <v>115</v>
      </c>
      <c r="B8" s="10"/>
      <c r="C8" s="8" t="s">
        <v>116</v>
      </c>
      <c r="D8" s="10"/>
      <c r="E8" s="10"/>
      <c r="F8" s="10"/>
      <c r="G8" s="10"/>
      <c r="H8" s="10">
        <f t="shared" si="0"/>
        <v>1</v>
      </c>
    </row>
    <row r="9" spans="1:8" ht="21.75" customHeight="1" x14ac:dyDescent="0.25">
      <c r="A9" s="11" t="s">
        <v>117</v>
      </c>
      <c r="B9" s="8" t="s">
        <v>118</v>
      </c>
      <c r="C9" s="10"/>
      <c r="D9" s="10"/>
      <c r="E9" s="10"/>
      <c r="F9" s="8" t="s">
        <v>119</v>
      </c>
      <c r="G9" s="8" t="s">
        <v>120</v>
      </c>
      <c r="H9" s="10">
        <f t="shared" si="0"/>
        <v>3</v>
      </c>
    </row>
    <row r="10" spans="1:8" ht="21.75" customHeight="1" x14ac:dyDescent="0.25">
      <c r="A10" s="11" t="s">
        <v>121</v>
      </c>
      <c r="B10" s="8" t="s">
        <v>122</v>
      </c>
      <c r="C10" s="10"/>
      <c r="D10" s="10"/>
      <c r="E10" s="10"/>
      <c r="F10" s="10"/>
      <c r="G10" s="8" t="s">
        <v>122</v>
      </c>
      <c r="H10" s="10">
        <f t="shared" si="0"/>
        <v>2</v>
      </c>
    </row>
    <row r="11" spans="1:8" ht="21.75" customHeight="1" x14ac:dyDescent="0.25">
      <c r="A11" s="11" t="s">
        <v>123</v>
      </c>
      <c r="B11" s="10"/>
      <c r="C11" s="8" t="s">
        <v>124</v>
      </c>
      <c r="D11" s="8" t="s">
        <v>125</v>
      </c>
      <c r="E11" s="8" t="s">
        <v>126</v>
      </c>
      <c r="F11" s="10"/>
      <c r="G11" s="8" t="s">
        <v>127</v>
      </c>
      <c r="H11" s="10">
        <f t="shared" si="0"/>
        <v>4</v>
      </c>
    </row>
    <row r="12" spans="1:8" ht="21.75" customHeight="1" x14ac:dyDescent="0.25">
      <c r="A12" s="11" t="s">
        <v>128</v>
      </c>
      <c r="B12" s="10"/>
      <c r="C12" s="10"/>
      <c r="D12" s="8" t="s">
        <v>129</v>
      </c>
      <c r="E12" s="10"/>
      <c r="F12" s="10"/>
      <c r="G12" s="10"/>
      <c r="H12" s="10">
        <f t="shared" si="0"/>
        <v>1</v>
      </c>
    </row>
    <row r="13" spans="1:8" ht="21.75" customHeight="1" x14ac:dyDescent="0.25">
      <c r="A13" s="11" t="s">
        <v>130</v>
      </c>
      <c r="B13" s="8" t="s">
        <v>131</v>
      </c>
      <c r="C13" s="10"/>
      <c r="D13" s="8" t="s">
        <v>132</v>
      </c>
      <c r="E13" s="10"/>
      <c r="F13" s="10"/>
      <c r="G13" s="10"/>
      <c r="H13" s="10">
        <f t="shared" si="0"/>
        <v>2</v>
      </c>
    </row>
    <row r="14" spans="1:8" ht="21.75" customHeight="1" x14ac:dyDescent="0.25">
      <c r="A14" s="11" t="s">
        <v>133</v>
      </c>
      <c r="B14" s="10"/>
      <c r="C14" s="10"/>
      <c r="D14" s="8" t="s">
        <v>134</v>
      </c>
      <c r="E14" s="8" t="s">
        <v>135</v>
      </c>
      <c r="F14" s="10"/>
      <c r="G14" s="10"/>
      <c r="H14" s="10">
        <f t="shared" si="0"/>
        <v>2</v>
      </c>
    </row>
    <row r="15" spans="1:8" ht="21.75" customHeight="1" x14ac:dyDescent="0.25">
      <c r="A15" s="11" t="s">
        <v>136</v>
      </c>
      <c r="B15" s="10"/>
      <c r="C15" s="8" t="s">
        <v>137</v>
      </c>
      <c r="D15" s="10"/>
      <c r="E15" s="10"/>
      <c r="F15" s="10"/>
      <c r="G15" s="10"/>
      <c r="H15" s="10">
        <f t="shared" si="0"/>
        <v>1</v>
      </c>
    </row>
    <row r="16" spans="1:8" ht="15" customHeight="1" x14ac:dyDescent="0.25">
      <c r="A16" s="11" t="s">
        <v>102</v>
      </c>
      <c r="B16" s="12">
        <f t="shared" ref="B16:G16" si="1">COUNTA(B4:B15)</f>
        <v>5</v>
      </c>
      <c r="C16" s="12">
        <f t="shared" si="1"/>
        <v>5</v>
      </c>
      <c r="D16" s="12">
        <f t="shared" si="1"/>
        <v>4</v>
      </c>
      <c r="E16" s="12">
        <f t="shared" si="1"/>
        <v>3</v>
      </c>
      <c r="F16" s="12">
        <f t="shared" si="1"/>
        <v>3</v>
      </c>
      <c r="G16" s="12">
        <f t="shared" si="1"/>
        <v>5</v>
      </c>
      <c r="H16" s="12"/>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6"/>
  <sheetViews>
    <sheetView zoomScaleNormal="100" workbookViewId="0">
      <pane xSplit="1" ySplit="3" topLeftCell="B4" activePane="bottomRight" state="frozen"/>
      <selection pane="topRight" activeCell="B1" sqref="B1"/>
      <selection pane="bottomLeft" activeCell="A4" sqref="A4"/>
      <selection pane="bottomRight"/>
    </sheetView>
  </sheetViews>
  <sheetFormatPr defaultColWidth="8.7109375" defaultRowHeight="15" x14ac:dyDescent="0.25"/>
  <cols>
    <col min="1" max="1" width="34" customWidth="1"/>
    <col min="2" max="19" width="13" customWidth="1"/>
  </cols>
  <sheetData>
    <row r="1" spans="1:18" ht="15" customHeight="1" x14ac:dyDescent="0.25">
      <c r="A1" s="2" t="s">
        <v>138</v>
      </c>
    </row>
    <row r="3" spans="1:18" ht="57.75" customHeight="1" x14ac:dyDescent="0.25">
      <c r="A3" s="5" t="s">
        <v>95</v>
      </c>
      <c r="B3" s="5" t="s">
        <v>139</v>
      </c>
      <c r="C3" s="5" t="s">
        <v>140</v>
      </c>
      <c r="D3" s="5" t="s">
        <v>141</v>
      </c>
      <c r="E3" s="5" t="s">
        <v>142</v>
      </c>
      <c r="F3" s="5" t="s">
        <v>143</v>
      </c>
      <c r="G3" s="5" t="s">
        <v>144</v>
      </c>
      <c r="H3" s="5" t="s">
        <v>145</v>
      </c>
      <c r="I3" s="5" t="s">
        <v>146</v>
      </c>
      <c r="J3" s="5" t="s">
        <v>147</v>
      </c>
      <c r="K3" s="5" t="s">
        <v>148</v>
      </c>
      <c r="L3" s="5" t="s">
        <v>149</v>
      </c>
      <c r="M3" s="5" t="s">
        <v>150</v>
      </c>
      <c r="N3" s="5" t="s">
        <v>151</v>
      </c>
      <c r="O3" s="5" t="s">
        <v>152</v>
      </c>
      <c r="P3" s="5" t="s">
        <v>153</v>
      </c>
      <c r="Q3" s="5" t="s">
        <v>154</v>
      </c>
      <c r="R3" s="5" t="s">
        <v>102</v>
      </c>
    </row>
    <row r="4" spans="1:18" ht="21.75" customHeight="1" x14ac:dyDescent="0.25">
      <c r="A4" s="11" t="s">
        <v>103</v>
      </c>
      <c r="B4" s="10"/>
      <c r="C4" s="8" t="s">
        <v>104</v>
      </c>
      <c r="D4" s="10"/>
      <c r="E4" s="8" t="s">
        <v>104</v>
      </c>
      <c r="F4" s="10"/>
      <c r="G4" s="8" t="s">
        <v>104</v>
      </c>
      <c r="H4" s="10"/>
      <c r="I4" s="10"/>
      <c r="J4" s="10"/>
      <c r="K4" s="10"/>
      <c r="L4" s="8" t="s">
        <v>104</v>
      </c>
      <c r="M4" s="10"/>
      <c r="N4" s="10"/>
      <c r="O4" s="10"/>
      <c r="P4" s="10"/>
      <c r="Q4" s="10"/>
      <c r="R4" s="10">
        <f t="shared" ref="R4:R15" si="0">COUNTA(B4:Q4)</f>
        <v>4</v>
      </c>
    </row>
    <row r="5" spans="1:18" ht="21.75" customHeight="1" x14ac:dyDescent="0.25">
      <c r="A5" s="11" t="s">
        <v>107</v>
      </c>
      <c r="B5" s="10"/>
      <c r="C5" s="8" t="s">
        <v>155</v>
      </c>
      <c r="D5" s="10"/>
      <c r="E5" s="10"/>
      <c r="F5" s="10"/>
      <c r="G5" s="8" t="s">
        <v>155</v>
      </c>
      <c r="H5" s="8" t="s">
        <v>155</v>
      </c>
      <c r="I5" s="10"/>
      <c r="J5" s="10"/>
      <c r="K5" s="10"/>
      <c r="L5" s="10"/>
      <c r="M5" s="10"/>
      <c r="N5" s="10"/>
      <c r="O5" s="10"/>
      <c r="P5" s="10"/>
      <c r="Q5" s="10"/>
      <c r="R5" s="10">
        <f t="shared" si="0"/>
        <v>3</v>
      </c>
    </row>
    <row r="6" spans="1:18" ht="21.75" customHeight="1" x14ac:dyDescent="0.25">
      <c r="A6" s="11" t="s">
        <v>109</v>
      </c>
      <c r="B6" s="10"/>
      <c r="C6" s="8" t="s">
        <v>156</v>
      </c>
      <c r="D6" s="10"/>
      <c r="E6" s="8" t="s">
        <v>156</v>
      </c>
      <c r="F6" s="8" t="s">
        <v>156</v>
      </c>
      <c r="G6" s="10"/>
      <c r="H6" s="10"/>
      <c r="I6" s="10"/>
      <c r="J6" s="10"/>
      <c r="K6" s="10"/>
      <c r="L6" s="10"/>
      <c r="M6" s="10"/>
      <c r="N6" s="10"/>
      <c r="O6" s="10"/>
      <c r="P6" s="10"/>
      <c r="Q6" s="10"/>
      <c r="R6" s="10">
        <f t="shared" si="0"/>
        <v>3</v>
      </c>
    </row>
    <row r="7" spans="1:18" ht="21.75" customHeight="1" x14ac:dyDescent="0.25">
      <c r="A7" s="11" t="s">
        <v>113</v>
      </c>
      <c r="B7" s="8" t="s">
        <v>157</v>
      </c>
      <c r="C7" s="10"/>
      <c r="D7" s="8" t="s">
        <v>157</v>
      </c>
      <c r="E7" s="10"/>
      <c r="F7" s="10"/>
      <c r="G7" s="10"/>
      <c r="H7" s="10"/>
      <c r="I7" s="10"/>
      <c r="J7" s="10"/>
      <c r="K7" s="10"/>
      <c r="L7" s="10"/>
      <c r="M7" s="10"/>
      <c r="N7" s="10"/>
      <c r="O7" s="10"/>
      <c r="P7" s="10"/>
      <c r="Q7" s="10"/>
      <c r="R7" s="10">
        <f t="shared" si="0"/>
        <v>2</v>
      </c>
    </row>
    <row r="8" spans="1:18" ht="21.75" customHeight="1" x14ac:dyDescent="0.25">
      <c r="A8" s="11" t="s">
        <v>115</v>
      </c>
      <c r="B8" s="10"/>
      <c r="C8" s="10"/>
      <c r="D8" s="10"/>
      <c r="E8" s="10"/>
      <c r="F8" s="10"/>
      <c r="G8" s="10"/>
      <c r="H8" s="10"/>
      <c r="I8" s="10"/>
      <c r="J8" s="10"/>
      <c r="K8" s="10"/>
      <c r="L8" s="8" t="s">
        <v>158</v>
      </c>
      <c r="M8" s="8" t="s">
        <v>158</v>
      </c>
      <c r="N8" s="8" t="s">
        <v>158</v>
      </c>
      <c r="O8" s="10"/>
      <c r="P8" s="10"/>
      <c r="Q8" s="10"/>
      <c r="R8" s="10">
        <f t="shared" si="0"/>
        <v>3</v>
      </c>
    </row>
    <row r="9" spans="1:18" ht="21.75" customHeight="1" x14ac:dyDescent="0.25">
      <c r="A9" s="11" t="s">
        <v>117</v>
      </c>
      <c r="B9" s="10"/>
      <c r="C9" s="10"/>
      <c r="D9" s="10"/>
      <c r="E9" s="10"/>
      <c r="F9" s="10"/>
      <c r="G9" s="10"/>
      <c r="H9" s="10"/>
      <c r="I9" s="8" t="s">
        <v>118</v>
      </c>
      <c r="J9" s="10"/>
      <c r="K9" s="8" t="s">
        <v>118</v>
      </c>
      <c r="L9" s="10"/>
      <c r="M9" s="10"/>
      <c r="N9" s="10"/>
      <c r="O9" s="10"/>
      <c r="P9" s="10"/>
      <c r="Q9" s="10"/>
      <c r="R9" s="10">
        <f t="shared" si="0"/>
        <v>2</v>
      </c>
    </row>
    <row r="10" spans="1:18" ht="21.75" customHeight="1" x14ac:dyDescent="0.25">
      <c r="A10" s="11" t="s">
        <v>121</v>
      </c>
      <c r="B10" s="10"/>
      <c r="C10" s="10"/>
      <c r="D10" s="10"/>
      <c r="E10" s="10"/>
      <c r="F10" s="10"/>
      <c r="G10" s="8" t="s">
        <v>122</v>
      </c>
      <c r="H10" s="10"/>
      <c r="I10" s="8" t="s">
        <v>122</v>
      </c>
      <c r="J10" s="8" t="s">
        <v>122</v>
      </c>
      <c r="K10" s="10"/>
      <c r="L10" s="8" t="s">
        <v>122</v>
      </c>
      <c r="M10" s="10"/>
      <c r="N10" s="10"/>
      <c r="O10" s="10"/>
      <c r="P10" s="10"/>
      <c r="Q10" s="10"/>
      <c r="R10" s="10">
        <f t="shared" si="0"/>
        <v>4</v>
      </c>
    </row>
    <row r="11" spans="1:18" ht="21.75" customHeight="1" x14ac:dyDescent="0.25">
      <c r="A11" s="11" t="s">
        <v>123</v>
      </c>
      <c r="B11" s="8" t="s">
        <v>159</v>
      </c>
      <c r="C11" s="10"/>
      <c r="D11" s="10"/>
      <c r="E11" s="10"/>
      <c r="F11" s="10"/>
      <c r="G11" s="10"/>
      <c r="H11" s="10"/>
      <c r="I11" s="10"/>
      <c r="J11" s="10"/>
      <c r="K11" s="10"/>
      <c r="L11" s="10"/>
      <c r="M11" s="10"/>
      <c r="N11" s="8" t="s">
        <v>159</v>
      </c>
      <c r="O11" s="8" t="s">
        <v>159</v>
      </c>
      <c r="P11" s="10"/>
      <c r="Q11" s="10"/>
      <c r="R11" s="10">
        <f t="shared" si="0"/>
        <v>3</v>
      </c>
    </row>
    <row r="12" spans="1:18" ht="21.75" customHeight="1" x14ac:dyDescent="0.25">
      <c r="A12" s="11" t="s">
        <v>128</v>
      </c>
      <c r="B12" s="10"/>
      <c r="C12" s="10"/>
      <c r="D12" s="10"/>
      <c r="E12" s="10"/>
      <c r="F12" s="10"/>
      <c r="G12" s="10"/>
      <c r="H12" s="10"/>
      <c r="I12" s="10"/>
      <c r="J12" s="10"/>
      <c r="K12" s="10"/>
      <c r="L12" s="10"/>
      <c r="M12" s="10"/>
      <c r="N12" s="8" t="s">
        <v>160</v>
      </c>
      <c r="O12" s="10"/>
      <c r="P12" s="10"/>
      <c r="Q12" s="10"/>
      <c r="R12" s="10">
        <f t="shared" si="0"/>
        <v>1</v>
      </c>
    </row>
    <row r="13" spans="1:18" ht="21.75" customHeight="1" x14ac:dyDescent="0.25">
      <c r="A13" s="11" t="s">
        <v>130</v>
      </c>
      <c r="B13" s="10"/>
      <c r="C13" s="10"/>
      <c r="D13" s="10"/>
      <c r="E13" s="10"/>
      <c r="F13" s="10"/>
      <c r="G13" s="10"/>
      <c r="H13" s="8" t="s">
        <v>131</v>
      </c>
      <c r="I13" s="10"/>
      <c r="J13" s="10"/>
      <c r="K13" s="10"/>
      <c r="L13" s="10"/>
      <c r="M13" s="8" t="s">
        <v>131</v>
      </c>
      <c r="N13" s="10"/>
      <c r="O13" s="10"/>
      <c r="P13" s="10"/>
      <c r="Q13" s="10"/>
      <c r="R13" s="10">
        <f t="shared" si="0"/>
        <v>2</v>
      </c>
    </row>
    <row r="14" spans="1:18" ht="21.75" customHeight="1" x14ac:dyDescent="0.25">
      <c r="A14" s="11" t="s">
        <v>133</v>
      </c>
      <c r="B14" s="10"/>
      <c r="C14" s="10"/>
      <c r="D14" s="10"/>
      <c r="E14" s="10"/>
      <c r="F14" s="10"/>
      <c r="G14" s="10"/>
      <c r="H14" s="10"/>
      <c r="I14" s="10"/>
      <c r="J14" s="10"/>
      <c r="K14" s="10"/>
      <c r="L14" s="10"/>
      <c r="M14" s="8" t="s">
        <v>161</v>
      </c>
      <c r="N14" s="10"/>
      <c r="O14" s="10"/>
      <c r="P14" s="8" t="s">
        <v>161</v>
      </c>
      <c r="Q14" s="10"/>
      <c r="R14" s="10">
        <f t="shared" si="0"/>
        <v>2</v>
      </c>
    </row>
    <row r="15" spans="1:18" ht="21.75" customHeight="1" x14ac:dyDescent="0.25">
      <c r="A15" s="11" t="s">
        <v>136</v>
      </c>
      <c r="B15" s="10"/>
      <c r="C15" s="10"/>
      <c r="D15" s="10"/>
      <c r="E15" s="10"/>
      <c r="F15" s="10"/>
      <c r="G15" s="10"/>
      <c r="H15" s="10"/>
      <c r="I15" s="10"/>
      <c r="J15" s="10"/>
      <c r="K15" s="10"/>
      <c r="L15" s="10"/>
      <c r="M15" s="10"/>
      <c r="N15" s="10"/>
      <c r="O15" s="10"/>
      <c r="P15" s="10"/>
      <c r="Q15" s="8" t="s">
        <v>162</v>
      </c>
      <c r="R15" s="10">
        <f t="shared" si="0"/>
        <v>1</v>
      </c>
    </row>
    <row r="16" spans="1:18" ht="15" customHeight="1" x14ac:dyDescent="0.25">
      <c r="A16" s="11" t="s">
        <v>102</v>
      </c>
      <c r="B16" s="12">
        <f t="shared" ref="B16:Q16" si="1">COUNTA(B4:B15)</f>
        <v>2</v>
      </c>
      <c r="C16" s="12">
        <f t="shared" si="1"/>
        <v>3</v>
      </c>
      <c r="D16" s="12">
        <f t="shared" si="1"/>
        <v>1</v>
      </c>
      <c r="E16" s="12">
        <f t="shared" si="1"/>
        <v>2</v>
      </c>
      <c r="F16" s="12">
        <f t="shared" si="1"/>
        <v>1</v>
      </c>
      <c r="G16" s="12">
        <f t="shared" si="1"/>
        <v>3</v>
      </c>
      <c r="H16" s="12">
        <f t="shared" si="1"/>
        <v>2</v>
      </c>
      <c r="I16" s="12">
        <f t="shared" si="1"/>
        <v>2</v>
      </c>
      <c r="J16" s="12">
        <f t="shared" si="1"/>
        <v>1</v>
      </c>
      <c r="K16" s="12">
        <f t="shared" si="1"/>
        <v>1</v>
      </c>
      <c r="L16" s="12">
        <f t="shared" si="1"/>
        <v>3</v>
      </c>
      <c r="M16" s="12">
        <f t="shared" si="1"/>
        <v>3</v>
      </c>
      <c r="N16" s="12">
        <f t="shared" si="1"/>
        <v>3</v>
      </c>
      <c r="O16" s="12">
        <f t="shared" si="1"/>
        <v>1</v>
      </c>
      <c r="P16" s="12">
        <f t="shared" si="1"/>
        <v>1</v>
      </c>
      <c r="Q16" s="12">
        <f t="shared" si="1"/>
        <v>1</v>
      </c>
      <c r="R16" s="12"/>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5"/>
  <sheetViews>
    <sheetView tabSelected="1" zoomScaleNormal="100" workbookViewId="0">
      <pane xSplit="2" ySplit="3" topLeftCell="C4" activePane="bottomRight" state="frozen"/>
      <selection pane="topRight" activeCell="C1" sqref="C1"/>
      <selection pane="bottomLeft" activeCell="A4" sqref="A4"/>
      <selection pane="bottomRight" activeCell="A15" sqref="A15"/>
    </sheetView>
  </sheetViews>
  <sheetFormatPr defaultColWidth="8.7109375" defaultRowHeight="30.75" customHeight="1" x14ac:dyDescent="0.25"/>
  <cols>
    <col min="1" max="1" width="20" customWidth="1"/>
    <col min="2" max="2" width="22" customWidth="1"/>
    <col min="3" max="3" width="34" customWidth="1"/>
    <col min="4" max="4" width="12" customWidth="1"/>
    <col min="5" max="5" width="30" customWidth="1"/>
    <col min="6" max="6" width="40" customWidth="1"/>
    <col min="7" max="7" width="10" customWidth="1"/>
    <col min="8" max="8" width="36" customWidth="1"/>
    <col min="9" max="9" width="26" customWidth="1"/>
    <col min="10" max="10" width="34" customWidth="1"/>
    <col min="11" max="11" width="55" customWidth="1"/>
    <col min="12" max="12" width="70" customWidth="1"/>
    <col min="13" max="13" width="34" customWidth="1"/>
  </cols>
  <sheetData>
    <row r="1" spans="1:13" ht="30.75" customHeight="1" x14ac:dyDescent="0.25">
      <c r="A1" s="1" t="s">
        <v>163</v>
      </c>
    </row>
    <row r="3" spans="1:13" ht="30.75" customHeight="1" x14ac:dyDescent="0.25">
      <c r="A3" s="5" t="s">
        <v>164</v>
      </c>
      <c r="B3" s="5" t="s">
        <v>95</v>
      </c>
      <c r="C3" s="5" t="s">
        <v>165</v>
      </c>
      <c r="D3" s="5" t="s">
        <v>166</v>
      </c>
      <c r="E3" s="5" t="s">
        <v>24</v>
      </c>
      <c r="F3" s="5" t="s">
        <v>26</v>
      </c>
      <c r="G3" s="5" t="s">
        <v>167</v>
      </c>
      <c r="H3" s="5" t="s">
        <v>168</v>
      </c>
      <c r="I3" s="5" t="s">
        <v>169</v>
      </c>
      <c r="J3" s="5" t="s">
        <v>170</v>
      </c>
      <c r="K3" s="5" t="s">
        <v>171</v>
      </c>
      <c r="L3" s="5" t="s">
        <v>172</v>
      </c>
      <c r="M3" s="5" t="s">
        <v>173</v>
      </c>
    </row>
    <row r="4" spans="1:13" ht="30.75" customHeight="1" x14ac:dyDescent="0.25">
      <c r="A4" s="4" t="s">
        <v>174</v>
      </c>
      <c r="B4" s="4" t="s">
        <v>175</v>
      </c>
      <c r="C4" s="4" t="s">
        <v>176</v>
      </c>
      <c r="D4" s="4" t="s">
        <v>177</v>
      </c>
      <c r="E4" s="4" t="s">
        <v>178</v>
      </c>
      <c r="F4" s="4" t="s">
        <v>179</v>
      </c>
      <c r="G4" s="10">
        <f>COUNTA('Pest x Symptom'!B4:Q4)</f>
        <v>4</v>
      </c>
      <c r="H4" s="10" t="s">
        <v>180</v>
      </c>
      <c r="I4" s="4" t="s">
        <v>181</v>
      </c>
      <c r="J4" s="4" t="s">
        <v>182</v>
      </c>
      <c r="K4" s="4" t="s">
        <v>183</v>
      </c>
      <c r="L4" s="4" t="s">
        <v>184</v>
      </c>
      <c r="M4" s="4" t="s">
        <v>185</v>
      </c>
    </row>
    <row r="5" spans="1:13" ht="30.75" customHeight="1" x14ac:dyDescent="0.25">
      <c r="A5" s="4" t="s">
        <v>186</v>
      </c>
      <c r="B5" s="4" t="s">
        <v>187</v>
      </c>
      <c r="C5" s="4" t="s">
        <v>188</v>
      </c>
      <c r="D5" s="4" t="s">
        <v>177</v>
      </c>
      <c r="E5" s="4" t="s">
        <v>97</v>
      </c>
      <c r="F5" s="4" t="s">
        <v>189</v>
      </c>
      <c r="G5" s="10">
        <f>COUNTA('Pest x Symptom'!B5:Q5)</f>
        <v>3</v>
      </c>
      <c r="H5" s="10" t="s">
        <v>190</v>
      </c>
      <c r="I5" s="4" t="s">
        <v>191</v>
      </c>
      <c r="J5" s="4" t="s">
        <v>192</v>
      </c>
      <c r="K5" s="4" t="s">
        <v>193</v>
      </c>
      <c r="L5" s="4" t="s">
        <v>194</v>
      </c>
      <c r="M5" s="4" t="s">
        <v>195</v>
      </c>
    </row>
    <row r="6" spans="1:13" ht="30.75" customHeight="1" x14ac:dyDescent="0.25">
      <c r="A6" s="4" t="s">
        <v>196</v>
      </c>
      <c r="B6" s="4" t="s">
        <v>197</v>
      </c>
      <c r="C6" s="4" t="s">
        <v>198</v>
      </c>
      <c r="D6" s="4" t="s">
        <v>177</v>
      </c>
      <c r="E6" s="4" t="s">
        <v>199</v>
      </c>
      <c r="F6" s="4" t="s">
        <v>200</v>
      </c>
      <c r="G6" s="10">
        <f>COUNTA('Pest x Symptom'!B6:Q6)</f>
        <v>3</v>
      </c>
      <c r="H6" s="10" t="s">
        <v>201</v>
      </c>
      <c r="I6" s="4" t="s">
        <v>202</v>
      </c>
      <c r="J6" s="4" t="s">
        <v>203</v>
      </c>
      <c r="K6" s="4" t="s">
        <v>204</v>
      </c>
      <c r="L6" s="4" t="s">
        <v>205</v>
      </c>
      <c r="M6" s="4" t="s">
        <v>206</v>
      </c>
    </row>
    <row r="7" spans="1:13" ht="30.75" customHeight="1" x14ac:dyDescent="0.25">
      <c r="A7" s="4" t="s">
        <v>207</v>
      </c>
      <c r="B7" s="4" t="s">
        <v>208</v>
      </c>
      <c r="C7" s="4" t="s">
        <v>209</v>
      </c>
      <c r="D7" s="4" t="s">
        <v>177</v>
      </c>
      <c r="E7" s="4" t="s">
        <v>97</v>
      </c>
      <c r="F7" s="4" t="s">
        <v>210</v>
      </c>
      <c r="G7" s="10">
        <f>COUNTA('Pest x Symptom'!B7:Q7)</f>
        <v>2</v>
      </c>
      <c r="H7" s="10" t="s">
        <v>211</v>
      </c>
      <c r="I7" s="4"/>
      <c r="J7" s="4" t="s">
        <v>212</v>
      </c>
      <c r="K7" s="4" t="s">
        <v>213</v>
      </c>
      <c r="L7" s="4" t="s">
        <v>214</v>
      </c>
      <c r="M7" s="4" t="s">
        <v>215</v>
      </c>
    </row>
    <row r="8" spans="1:13" ht="30.75" customHeight="1" x14ac:dyDescent="0.25">
      <c r="A8" s="4" t="s">
        <v>216</v>
      </c>
      <c r="B8" s="4" t="s">
        <v>217</v>
      </c>
      <c r="C8" s="4" t="s">
        <v>218</v>
      </c>
      <c r="D8" s="4" t="s">
        <v>177</v>
      </c>
      <c r="E8" s="4" t="s">
        <v>97</v>
      </c>
      <c r="F8" s="4" t="s">
        <v>219</v>
      </c>
      <c r="G8" s="10">
        <f>COUNTA('Pest x Symptom'!B8:Q8)</f>
        <v>3</v>
      </c>
      <c r="H8" s="10" t="s">
        <v>220</v>
      </c>
      <c r="I8" s="4" t="s">
        <v>221</v>
      </c>
      <c r="J8" s="4" t="s">
        <v>222</v>
      </c>
      <c r="K8" s="4" t="s">
        <v>223</v>
      </c>
      <c r="L8" s="4" t="s">
        <v>224</v>
      </c>
      <c r="M8" s="4" t="s">
        <v>225</v>
      </c>
    </row>
    <row r="9" spans="1:13" ht="30.75" customHeight="1" x14ac:dyDescent="0.25">
      <c r="A9" s="4" t="s">
        <v>226</v>
      </c>
      <c r="B9" s="4" t="s">
        <v>227</v>
      </c>
      <c r="C9" s="4" t="s">
        <v>228</v>
      </c>
      <c r="D9" s="4" t="s">
        <v>229</v>
      </c>
      <c r="E9" s="4" t="s">
        <v>199</v>
      </c>
      <c r="F9" s="4" t="s">
        <v>230</v>
      </c>
      <c r="G9" s="10">
        <f>COUNTA('Pest x Symptom'!B9:Q9)</f>
        <v>2</v>
      </c>
      <c r="H9" s="10" t="s">
        <v>231</v>
      </c>
      <c r="I9" s="4" t="s">
        <v>232</v>
      </c>
      <c r="J9" s="4" t="s">
        <v>233</v>
      </c>
      <c r="K9" s="4" t="s">
        <v>234</v>
      </c>
      <c r="L9" s="4" t="s">
        <v>235</v>
      </c>
      <c r="M9" s="4" t="s">
        <v>236</v>
      </c>
    </row>
    <row r="10" spans="1:13" ht="30.75" customHeight="1" x14ac:dyDescent="0.25">
      <c r="A10" s="4" t="s">
        <v>237</v>
      </c>
      <c r="B10" s="4" t="s">
        <v>238</v>
      </c>
      <c r="C10" s="4" t="s">
        <v>239</v>
      </c>
      <c r="D10" s="4" t="s">
        <v>177</v>
      </c>
      <c r="E10" s="4" t="s">
        <v>240</v>
      </c>
      <c r="F10" s="4" t="s">
        <v>241</v>
      </c>
      <c r="G10" s="10">
        <f>COUNTA('Pest x Symptom'!B10:Q10)</f>
        <v>4</v>
      </c>
      <c r="H10" s="10" t="s">
        <v>242</v>
      </c>
      <c r="I10" s="4" t="s">
        <v>243</v>
      </c>
      <c r="J10" s="4" t="s">
        <v>244</v>
      </c>
      <c r="K10" s="4" t="s">
        <v>245</v>
      </c>
      <c r="L10" s="4" t="s">
        <v>246</v>
      </c>
      <c r="M10" s="4" t="s">
        <v>247</v>
      </c>
    </row>
    <row r="11" spans="1:13" ht="30.75" customHeight="1" x14ac:dyDescent="0.25">
      <c r="A11" s="4" t="s">
        <v>248</v>
      </c>
      <c r="B11" s="4" t="s">
        <v>249</v>
      </c>
      <c r="C11" s="4" t="s">
        <v>250</v>
      </c>
      <c r="D11" s="4" t="s">
        <v>251</v>
      </c>
      <c r="E11" s="4" t="s">
        <v>252</v>
      </c>
      <c r="F11" s="4" t="s">
        <v>253</v>
      </c>
      <c r="G11" s="10">
        <f>COUNTA('Pest x Symptom'!B11:Q11)</f>
        <v>3</v>
      </c>
      <c r="H11" s="10" t="s">
        <v>254</v>
      </c>
      <c r="I11" s="4"/>
      <c r="J11" s="4"/>
      <c r="K11" s="4" t="s">
        <v>255</v>
      </c>
      <c r="L11" s="4" t="s">
        <v>256</v>
      </c>
      <c r="M11" s="4" t="s">
        <v>257</v>
      </c>
    </row>
    <row r="12" spans="1:13" ht="30.75" customHeight="1" x14ac:dyDescent="0.25">
      <c r="A12" s="4" t="s">
        <v>258</v>
      </c>
      <c r="B12" s="4" t="s">
        <v>259</v>
      </c>
      <c r="C12" s="4" t="s">
        <v>260</v>
      </c>
      <c r="D12" s="4" t="s">
        <v>177</v>
      </c>
      <c r="E12" s="4" t="s">
        <v>98</v>
      </c>
      <c r="F12" s="4" t="s">
        <v>151</v>
      </c>
      <c r="G12" s="10">
        <f>COUNTA('Pest x Symptom'!B12:Q12)</f>
        <v>1</v>
      </c>
      <c r="H12" s="10" t="s">
        <v>261</v>
      </c>
      <c r="I12" s="4" t="s">
        <v>262</v>
      </c>
      <c r="J12" s="4" t="s">
        <v>263</v>
      </c>
      <c r="K12" s="4" t="s">
        <v>264</v>
      </c>
      <c r="L12" s="4" t="s">
        <v>265</v>
      </c>
      <c r="M12" s="4" t="s">
        <v>266</v>
      </c>
    </row>
    <row r="13" spans="1:13" ht="30.75" customHeight="1" x14ac:dyDescent="0.25">
      <c r="A13" s="4" t="s">
        <v>267</v>
      </c>
      <c r="B13" s="4" t="s">
        <v>268</v>
      </c>
      <c r="C13" s="4" t="s">
        <v>269</v>
      </c>
      <c r="D13" s="4" t="s">
        <v>270</v>
      </c>
      <c r="E13" s="4" t="s">
        <v>271</v>
      </c>
      <c r="F13" s="4" t="s">
        <v>272</v>
      </c>
      <c r="G13" s="10">
        <f>COUNTA('Pest x Symptom'!B13:Q13)</f>
        <v>2</v>
      </c>
      <c r="H13" s="10" t="s">
        <v>273</v>
      </c>
      <c r="I13" s="4" t="s">
        <v>274</v>
      </c>
      <c r="J13" s="4" t="s">
        <v>275</v>
      </c>
      <c r="K13" s="4" t="s">
        <v>276</v>
      </c>
      <c r="L13" s="4" t="s">
        <v>277</v>
      </c>
      <c r="M13" s="4" t="s">
        <v>278</v>
      </c>
    </row>
    <row r="14" spans="1:13" ht="30.75" customHeight="1" x14ac:dyDescent="0.25">
      <c r="A14" s="4" t="s">
        <v>279</v>
      </c>
      <c r="B14" s="4" t="s">
        <v>280</v>
      </c>
      <c r="C14" s="4" t="s">
        <v>281</v>
      </c>
      <c r="D14" s="4" t="s">
        <v>282</v>
      </c>
      <c r="E14" s="4" t="s">
        <v>283</v>
      </c>
      <c r="F14" s="4" t="s">
        <v>284</v>
      </c>
      <c r="G14" s="10">
        <f>COUNTA('Pest x Symptom'!B14:Q14)</f>
        <v>2</v>
      </c>
      <c r="H14" s="10" t="s">
        <v>285</v>
      </c>
      <c r="I14" s="4" t="s">
        <v>286</v>
      </c>
      <c r="J14" s="4" t="s">
        <v>287</v>
      </c>
      <c r="K14" s="4" t="s">
        <v>288</v>
      </c>
      <c r="L14" s="4" t="s">
        <v>289</v>
      </c>
      <c r="M14" s="4" t="s">
        <v>290</v>
      </c>
    </row>
    <row r="15" spans="1:13" ht="30.75" customHeight="1" x14ac:dyDescent="0.25">
      <c r="A15" s="4" t="s">
        <v>291</v>
      </c>
      <c r="B15" s="4" t="s">
        <v>292</v>
      </c>
      <c r="C15" s="4" t="s">
        <v>293</v>
      </c>
      <c r="D15" s="4" t="s">
        <v>294</v>
      </c>
      <c r="E15" s="4" t="s">
        <v>97</v>
      </c>
      <c r="F15" s="4" t="s">
        <v>154</v>
      </c>
      <c r="G15" s="10">
        <f>COUNTA('Pest x Symptom'!B15:Q15)</f>
        <v>1</v>
      </c>
      <c r="H15" s="10" t="s">
        <v>295</v>
      </c>
      <c r="I15" s="4"/>
      <c r="J15" s="4"/>
      <c r="K15" s="4" t="s">
        <v>296</v>
      </c>
      <c r="L15" s="4" t="s">
        <v>297</v>
      </c>
      <c r="M15" s="4" t="s">
        <v>298</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zoomScaleNormal="100" workbookViewId="0"/>
  </sheetViews>
  <sheetFormatPr defaultColWidth="8.7109375" defaultRowHeight="15" x14ac:dyDescent="0.25"/>
  <cols>
    <col min="1" max="1" width="14" customWidth="1"/>
    <col min="2" max="2" width="70" customWidth="1"/>
    <col min="3" max="3" width="14" customWidth="1"/>
    <col min="4" max="4" width="18" customWidth="1"/>
    <col min="5" max="5" width="80" customWidth="1"/>
  </cols>
  <sheetData>
    <row r="1" spans="1:5" ht="17.25" customHeight="1" x14ac:dyDescent="0.25">
      <c r="A1" s="1" t="s">
        <v>299</v>
      </c>
    </row>
    <row r="3" spans="1:5" ht="23.25" customHeight="1" x14ac:dyDescent="0.25">
      <c r="A3" s="5" t="s">
        <v>300</v>
      </c>
      <c r="B3" s="5" t="s">
        <v>301</v>
      </c>
      <c r="C3" s="5" t="s">
        <v>302</v>
      </c>
      <c r="D3" s="5" t="s">
        <v>303</v>
      </c>
      <c r="E3" s="5" t="s">
        <v>304</v>
      </c>
    </row>
    <row r="4" spans="1:5" ht="15" customHeight="1" x14ac:dyDescent="0.25">
      <c r="A4" s="4" t="s">
        <v>96</v>
      </c>
      <c r="B4" s="4" t="s">
        <v>305</v>
      </c>
      <c r="C4" s="10">
        <f>COUNTIF('Pest x Crop'!B4:B15,"?*")</f>
        <v>5</v>
      </c>
      <c r="D4" s="10" t="str">
        <f t="shared" ref="D4:D9" si="0">IF(C4=0,"No pest",IF(C4&lt;3,"Thin coverage","Covered"))</f>
        <v>Covered</v>
      </c>
      <c r="E4" s="4"/>
    </row>
    <row r="5" spans="1:5" ht="15" customHeight="1" x14ac:dyDescent="0.25">
      <c r="A5" s="4" t="s">
        <v>97</v>
      </c>
      <c r="B5" s="4" t="s">
        <v>306</v>
      </c>
      <c r="C5" s="10">
        <f>COUNTIF('Pest x Crop'!C4:C15,"?*")</f>
        <v>5</v>
      </c>
      <c r="D5" s="10" t="str">
        <f t="shared" si="0"/>
        <v>Covered</v>
      </c>
      <c r="E5" s="4" t="s">
        <v>307</v>
      </c>
    </row>
    <row r="6" spans="1:5" ht="15" customHeight="1" x14ac:dyDescent="0.25">
      <c r="A6" s="4" t="s">
        <v>98</v>
      </c>
      <c r="B6" s="4" t="s">
        <v>308</v>
      </c>
      <c r="C6" s="10">
        <f>COUNTIF('Pest x Crop'!D4:D15,"?*")</f>
        <v>4</v>
      </c>
      <c r="D6" s="10" t="str">
        <f t="shared" si="0"/>
        <v>Covered</v>
      </c>
      <c r="E6" s="4" t="s">
        <v>309</v>
      </c>
    </row>
    <row r="7" spans="1:5" ht="15" customHeight="1" x14ac:dyDescent="0.25">
      <c r="A7" s="4" t="s">
        <v>99</v>
      </c>
      <c r="B7" s="4" t="s">
        <v>310</v>
      </c>
      <c r="C7" s="10">
        <f>COUNTIF('Pest x Crop'!E4:E15,"?*")</f>
        <v>3</v>
      </c>
      <c r="D7" s="10" t="str">
        <f t="shared" si="0"/>
        <v>Covered</v>
      </c>
      <c r="E7" s="4"/>
    </row>
    <row r="8" spans="1:5" ht="15" customHeight="1" x14ac:dyDescent="0.25">
      <c r="A8" s="4" t="s">
        <v>100</v>
      </c>
      <c r="B8" s="4" t="s">
        <v>311</v>
      </c>
      <c r="C8" s="10">
        <f>COUNTIF('Pest x Crop'!F4:F15,"?*")</f>
        <v>3</v>
      </c>
      <c r="D8" s="10" t="str">
        <f t="shared" si="0"/>
        <v>Covered</v>
      </c>
      <c r="E8" s="4"/>
    </row>
    <row r="9" spans="1:5" ht="15" customHeight="1" x14ac:dyDescent="0.25">
      <c r="A9" s="4" t="s">
        <v>101</v>
      </c>
      <c r="B9" s="4" t="s">
        <v>312</v>
      </c>
      <c r="C9" s="10">
        <f>COUNTIF('Pest x Crop'!G4:G15,"?*")</f>
        <v>5</v>
      </c>
      <c r="D9" s="10" t="str">
        <f t="shared" si="0"/>
        <v>Covered</v>
      </c>
      <c r="E9" s="4"/>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1"/>
  <sheetViews>
    <sheetView zoomScaleNormal="100" workbookViewId="0"/>
  </sheetViews>
  <sheetFormatPr defaultColWidth="8.7109375" defaultRowHeight="15" x14ac:dyDescent="0.25"/>
  <cols>
    <col min="1" max="1" width="30" customWidth="1"/>
    <col min="2" max="2" width="80" customWidth="1"/>
    <col min="3" max="3" width="14" customWidth="1"/>
    <col min="4" max="4" width="50" customWidth="1"/>
  </cols>
  <sheetData>
    <row r="1" spans="1:4" ht="17.25" customHeight="1" x14ac:dyDescent="0.25">
      <c r="A1" s="1" t="s">
        <v>313</v>
      </c>
    </row>
    <row r="2" spans="1:4" ht="15" customHeight="1" x14ac:dyDescent="0.25">
      <c r="A2" s="2" t="s">
        <v>314</v>
      </c>
    </row>
    <row r="3" spans="1:4" ht="15" customHeight="1" x14ac:dyDescent="0.25">
      <c r="A3" s="5"/>
      <c r="B3" s="5"/>
      <c r="C3" s="5"/>
      <c r="D3" s="5"/>
    </row>
    <row r="4" spans="1:4" ht="15" customHeight="1" x14ac:dyDescent="0.25">
      <c r="A4" s="4" t="s">
        <v>315</v>
      </c>
      <c r="B4" s="4" t="s">
        <v>316</v>
      </c>
      <c r="C4" s="10" t="s">
        <v>302</v>
      </c>
      <c r="D4" s="4" t="s">
        <v>317</v>
      </c>
    </row>
    <row r="5" spans="1:4" ht="15" customHeight="1" x14ac:dyDescent="0.25">
      <c r="A5" s="4" t="s">
        <v>139</v>
      </c>
      <c r="B5" s="4" t="s">
        <v>318</v>
      </c>
      <c r="C5" s="10">
        <f>COUNTIF('Pest x Symptom'!B4:B15,"?*")</f>
        <v>2</v>
      </c>
      <c r="D5" s="4" t="s">
        <v>319</v>
      </c>
    </row>
    <row r="6" spans="1:4" ht="15" customHeight="1" x14ac:dyDescent="0.25">
      <c r="A6" s="4" t="s">
        <v>140</v>
      </c>
      <c r="B6" s="4" t="s">
        <v>320</v>
      </c>
      <c r="C6" s="10">
        <f>COUNTIF('Pest x Symptom'!C4:C15,"?*")</f>
        <v>3</v>
      </c>
      <c r="D6" s="4" t="s">
        <v>321</v>
      </c>
    </row>
    <row r="7" spans="1:4" ht="15" customHeight="1" x14ac:dyDescent="0.25">
      <c r="A7" s="4" t="s">
        <v>141</v>
      </c>
      <c r="B7" s="4" t="s">
        <v>208</v>
      </c>
      <c r="C7" s="10">
        <f>COUNTIF('Pest x Symptom'!D4:D15,"?*")</f>
        <v>1</v>
      </c>
      <c r="D7" s="4" t="s">
        <v>322</v>
      </c>
    </row>
    <row r="8" spans="1:4" ht="15" customHeight="1" x14ac:dyDescent="0.25">
      <c r="A8" s="4" t="s">
        <v>142</v>
      </c>
      <c r="B8" s="4" t="s">
        <v>323</v>
      </c>
      <c r="C8" s="10">
        <f>COUNTIF('Pest x Symptom'!E4:E15,"?*")</f>
        <v>2</v>
      </c>
      <c r="D8" s="4" t="s">
        <v>324</v>
      </c>
    </row>
    <row r="9" spans="1:4" ht="15" customHeight="1" x14ac:dyDescent="0.25">
      <c r="A9" s="4" t="s">
        <v>143</v>
      </c>
      <c r="B9" s="4" t="s">
        <v>197</v>
      </c>
      <c r="C9" s="10">
        <f>COUNTIF('Pest x Symptom'!F4:F15,"?*")</f>
        <v>1</v>
      </c>
      <c r="D9" s="4" t="s">
        <v>325</v>
      </c>
    </row>
    <row r="10" spans="1:4" ht="15" customHeight="1" x14ac:dyDescent="0.25">
      <c r="A10" s="4" t="s">
        <v>144</v>
      </c>
      <c r="B10" s="4" t="s">
        <v>326</v>
      </c>
      <c r="C10" s="10">
        <f>COUNTIF('Pest x Symptom'!G4:G15,"?*")</f>
        <v>3</v>
      </c>
      <c r="D10" s="4" t="s">
        <v>327</v>
      </c>
    </row>
    <row r="11" spans="1:4" ht="15" customHeight="1" x14ac:dyDescent="0.25">
      <c r="A11" s="4" t="s">
        <v>145</v>
      </c>
      <c r="B11" s="4" t="s">
        <v>328</v>
      </c>
      <c r="C11" s="10">
        <f>COUNTIF('Pest x Symptom'!H4:H15,"?*")</f>
        <v>2</v>
      </c>
      <c r="D11" s="4" t="s">
        <v>329</v>
      </c>
    </row>
    <row r="12" spans="1:4" ht="15" customHeight="1" x14ac:dyDescent="0.25">
      <c r="A12" s="4" t="s">
        <v>146</v>
      </c>
      <c r="B12" s="4" t="s">
        <v>330</v>
      </c>
      <c r="C12" s="10">
        <f>COUNTIF('Pest x Symptom'!I4:I15,"?*")</f>
        <v>2</v>
      </c>
      <c r="D12" s="4" t="s">
        <v>331</v>
      </c>
    </row>
    <row r="13" spans="1:4" ht="15" customHeight="1" x14ac:dyDescent="0.25">
      <c r="A13" s="4" t="s">
        <v>147</v>
      </c>
      <c r="B13" s="4" t="s">
        <v>238</v>
      </c>
      <c r="C13" s="10">
        <f>COUNTIF('Pest x Symptom'!J4:J15,"?*")</f>
        <v>1</v>
      </c>
      <c r="D13" s="4" t="s">
        <v>332</v>
      </c>
    </row>
    <row r="14" spans="1:4" ht="15" customHeight="1" x14ac:dyDescent="0.25">
      <c r="A14" s="4" t="s">
        <v>148</v>
      </c>
      <c r="B14" s="4" t="s">
        <v>227</v>
      </c>
      <c r="C14" s="10">
        <f>COUNTIF('Pest x Symptom'!K4:K15,"?*")</f>
        <v>1</v>
      </c>
      <c r="D14" s="4" t="s">
        <v>333</v>
      </c>
    </row>
    <row r="15" spans="1:4" ht="15" customHeight="1" x14ac:dyDescent="0.25">
      <c r="A15" s="4" t="s">
        <v>149</v>
      </c>
      <c r="B15" s="4" t="s">
        <v>334</v>
      </c>
      <c r="C15" s="10">
        <f>COUNTIF('Pest x Symptom'!L4:L15,"?*")</f>
        <v>3</v>
      </c>
      <c r="D15" s="4" t="s">
        <v>335</v>
      </c>
    </row>
    <row r="16" spans="1:4" ht="15" customHeight="1" x14ac:dyDescent="0.25">
      <c r="A16" s="4" t="s">
        <v>150</v>
      </c>
      <c r="B16" s="4" t="s">
        <v>336</v>
      </c>
      <c r="C16" s="10">
        <f>COUNTIF('Pest x Symptom'!M4:M15,"?*")</f>
        <v>3</v>
      </c>
      <c r="D16" s="4" t="s">
        <v>337</v>
      </c>
    </row>
    <row r="17" spans="1:4" ht="15" customHeight="1" x14ac:dyDescent="0.25">
      <c r="A17" s="4" t="s">
        <v>151</v>
      </c>
      <c r="B17" s="4" t="s">
        <v>338</v>
      </c>
      <c r="C17" s="10">
        <f>COUNTIF('Pest x Symptom'!N4:N15,"?*")</f>
        <v>3</v>
      </c>
      <c r="D17" s="4" t="s">
        <v>339</v>
      </c>
    </row>
    <row r="18" spans="1:4" ht="15" customHeight="1" x14ac:dyDescent="0.25">
      <c r="A18" s="4" t="s">
        <v>152</v>
      </c>
      <c r="B18" s="4" t="s">
        <v>249</v>
      </c>
      <c r="C18" s="10">
        <f>COUNTIF('Pest x Symptom'!O4:O15,"?*")</f>
        <v>1</v>
      </c>
      <c r="D18" s="4" t="s">
        <v>340</v>
      </c>
    </row>
    <row r="19" spans="1:4" ht="15" customHeight="1" x14ac:dyDescent="0.25">
      <c r="A19" t="s">
        <v>153</v>
      </c>
      <c r="B19" t="s">
        <v>280</v>
      </c>
      <c r="C19">
        <f>COUNTIF('Pest x Symptom'!P4:P15,"?*")</f>
        <v>1</v>
      </c>
      <c r="D19" t="s">
        <v>341</v>
      </c>
    </row>
    <row r="20" spans="1:4" ht="15" customHeight="1" x14ac:dyDescent="0.25">
      <c r="A20" t="s">
        <v>154</v>
      </c>
      <c r="B20" t="s">
        <v>292</v>
      </c>
      <c r="C20">
        <f>COUNTIF('Pest x Symptom'!Q4:Q15,"?*")</f>
        <v>1</v>
      </c>
      <c r="D20" t="s">
        <v>342</v>
      </c>
    </row>
    <row r="21" spans="1:4" ht="15" customHeight="1" x14ac:dyDescent="0.25"/>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9"/>
  <sheetViews>
    <sheetView zoomScaleNormal="100" workbookViewId="0">
      <pane ySplit="9" topLeftCell="A10" activePane="bottomLeft" state="frozen"/>
      <selection pane="bottomLeft"/>
    </sheetView>
  </sheetViews>
  <sheetFormatPr defaultColWidth="8.7109375" defaultRowHeight="15" x14ac:dyDescent="0.25"/>
  <cols>
    <col min="1" max="1" width="14" customWidth="1"/>
    <col min="2" max="2" width="24" customWidth="1"/>
    <col min="3" max="4" width="50" customWidth="1"/>
    <col min="5" max="5" width="24" customWidth="1"/>
    <col min="6" max="6" width="34" customWidth="1"/>
    <col min="7" max="7" width="26" customWidth="1"/>
  </cols>
  <sheetData>
    <row r="1" spans="1:7" ht="17.25" customHeight="1" x14ac:dyDescent="0.25">
      <c r="A1" s="1" t="s">
        <v>343</v>
      </c>
    </row>
    <row r="2" spans="1:7" ht="15" customHeight="1" x14ac:dyDescent="0.25">
      <c r="A2" t="s">
        <v>344</v>
      </c>
    </row>
    <row r="3" spans="1:7" ht="17.25" customHeight="1" x14ac:dyDescent="0.25">
      <c r="A3" s="1" t="s">
        <v>345</v>
      </c>
      <c r="F3" t="s">
        <v>346</v>
      </c>
      <c r="G3">
        <f>COUNTA(B10:B34)</f>
        <v>25</v>
      </c>
    </row>
    <row r="4" spans="1:7" ht="15" customHeight="1" x14ac:dyDescent="0.25">
      <c r="A4" t="s">
        <v>347</v>
      </c>
      <c r="F4" t="s">
        <v>348</v>
      </c>
      <c r="G4" t="str">
        <f>IF(G3=SUM(Crops!C4:C9),"Yes","NO: regenerate")</f>
        <v>Yes</v>
      </c>
    </row>
    <row r="5" spans="1:7" ht="15" customHeight="1" x14ac:dyDescent="0.25">
      <c r="A5" t="s">
        <v>349</v>
      </c>
    </row>
    <row r="6" spans="1:7" ht="15" customHeight="1" x14ac:dyDescent="0.25">
      <c r="A6" t="s">
        <v>350</v>
      </c>
    </row>
    <row r="9" spans="1:7" ht="15" customHeight="1" x14ac:dyDescent="0.25">
      <c r="A9" s="5" t="s">
        <v>300</v>
      </c>
      <c r="B9" s="5" t="s">
        <v>351</v>
      </c>
      <c r="C9" s="5" t="s">
        <v>352</v>
      </c>
      <c r="D9" s="5" t="s">
        <v>353</v>
      </c>
      <c r="E9" s="5" t="s">
        <v>169</v>
      </c>
      <c r="F9" s="5" t="s">
        <v>170</v>
      </c>
      <c r="G9" s="5" t="s">
        <v>354</v>
      </c>
    </row>
    <row r="10" spans="1:7" ht="48" customHeight="1" x14ac:dyDescent="0.25">
      <c r="A10" s="13" t="s">
        <v>96</v>
      </c>
      <c r="B10" s="13" t="s">
        <v>175</v>
      </c>
      <c r="C10" s="13" t="s">
        <v>180</v>
      </c>
      <c r="D10" s="13" t="s">
        <v>179</v>
      </c>
      <c r="E10" s="13" t="s">
        <v>181</v>
      </c>
      <c r="F10" s="13" t="s">
        <v>182</v>
      </c>
      <c r="G10" s="13" t="s">
        <v>355</v>
      </c>
    </row>
    <row r="11" spans="1:7" ht="48" customHeight="1" x14ac:dyDescent="0.25">
      <c r="A11" s="13" t="s">
        <v>96</v>
      </c>
      <c r="B11" s="13" t="s">
        <v>197</v>
      </c>
      <c r="C11" s="13" t="s">
        <v>201</v>
      </c>
      <c r="D11" s="13" t="s">
        <v>200</v>
      </c>
      <c r="E11" s="13" t="s">
        <v>202</v>
      </c>
      <c r="F11" s="13" t="s">
        <v>203</v>
      </c>
      <c r="G11" s="13" t="s">
        <v>355</v>
      </c>
    </row>
    <row r="12" spans="1:7" ht="48" customHeight="1" x14ac:dyDescent="0.25">
      <c r="A12" s="13" t="s">
        <v>96</v>
      </c>
      <c r="B12" s="13" t="s">
        <v>227</v>
      </c>
      <c r="C12" s="13" t="s">
        <v>231</v>
      </c>
      <c r="D12" s="13" t="s">
        <v>230</v>
      </c>
      <c r="E12" s="13" t="s">
        <v>232</v>
      </c>
      <c r="F12" s="13" t="s">
        <v>233</v>
      </c>
      <c r="G12" s="13" t="s">
        <v>356</v>
      </c>
    </row>
    <row r="13" spans="1:7" ht="48" customHeight="1" x14ac:dyDescent="0.25">
      <c r="A13" s="13" t="s">
        <v>96</v>
      </c>
      <c r="B13" s="13" t="s">
        <v>238</v>
      </c>
      <c r="C13" s="13" t="s">
        <v>242</v>
      </c>
      <c r="D13" s="13" t="s">
        <v>241</v>
      </c>
      <c r="E13" s="13" t="s">
        <v>243</v>
      </c>
      <c r="F13" s="13" t="s">
        <v>244</v>
      </c>
      <c r="G13" s="13" t="s">
        <v>355</v>
      </c>
    </row>
    <row r="14" spans="1:7" ht="48" customHeight="1" x14ac:dyDescent="0.25">
      <c r="A14" s="13" t="s">
        <v>96</v>
      </c>
      <c r="B14" s="13" t="s">
        <v>268</v>
      </c>
      <c r="C14" s="13" t="s">
        <v>273</v>
      </c>
      <c r="D14" s="13" t="s">
        <v>272</v>
      </c>
      <c r="E14" s="13" t="s">
        <v>274</v>
      </c>
      <c r="F14" s="13" t="s">
        <v>275</v>
      </c>
      <c r="G14" s="13" t="s">
        <v>357</v>
      </c>
    </row>
    <row r="15" spans="1:7" ht="48" customHeight="1" x14ac:dyDescent="0.25">
      <c r="A15" s="14" t="s">
        <v>97</v>
      </c>
      <c r="B15" s="14" t="s">
        <v>187</v>
      </c>
      <c r="C15" s="14" t="s">
        <v>190</v>
      </c>
      <c r="D15" s="14" t="s">
        <v>189</v>
      </c>
      <c r="E15" s="14" t="s">
        <v>191</v>
      </c>
      <c r="F15" s="14" t="s">
        <v>192</v>
      </c>
      <c r="G15" s="14" t="s">
        <v>358</v>
      </c>
    </row>
    <row r="16" spans="1:7" ht="48" customHeight="1" x14ac:dyDescent="0.25">
      <c r="A16" s="14" t="s">
        <v>97</v>
      </c>
      <c r="B16" s="14" t="s">
        <v>208</v>
      </c>
      <c r="C16" s="14" t="s">
        <v>211</v>
      </c>
      <c r="D16" s="14" t="s">
        <v>210</v>
      </c>
      <c r="E16" s="14" t="s">
        <v>359</v>
      </c>
      <c r="F16" s="14" t="s">
        <v>212</v>
      </c>
      <c r="G16" s="14" t="s">
        <v>355</v>
      </c>
    </row>
    <row r="17" spans="1:7" ht="48" customHeight="1" x14ac:dyDescent="0.25">
      <c r="A17" s="14" t="s">
        <v>97</v>
      </c>
      <c r="B17" s="14" t="s">
        <v>217</v>
      </c>
      <c r="C17" s="14" t="s">
        <v>220</v>
      </c>
      <c r="D17" s="14" t="s">
        <v>219</v>
      </c>
      <c r="E17" s="14" t="s">
        <v>221</v>
      </c>
      <c r="F17" s="14" t="s">
        <v>222</v>
      </c>
      <c r="G17" s="14" t="s">
        <v>355</v>
      </c>
    </row>
    <row r="18" spans="1:7" ht="48" customHeight="1" x14ac:dyDescent="0.25">
      <c r="A18" s="14" t="s">
        <v>97</v>
      </c>
      <c r="B18" s="14" t="s">
        <v>249</v>
      </c>
      <c r="C18" s="14" t="s">
        <v>254</v>
      </c>
      <c r="D18" s="14" t="s">
        <v>253</v>
      </c>
      <c r="E18" s="14" t="s">
        <v>359</v>
      </c>
      <c r="F18" s="14" t="s">
        <v>359</v>
      </c>
      <c r="G18" s="14" t="s">
        <v>355</v>
      </c>
    </row>
    <row r="19" spans="1:7" ht="48" customHeight="1" x14ac:dyDescent="0.25">
      <c r="A19" s="14" t="s">
        <v>97</v>
      </c>
      <c r="B19" s="14" t="s">
        <v>292</v>
      </c>
      <c r="C19" s="14" t="s">
        <v>295</v>
      </c>
      <c r="D19" s="14" t="s">
        <v>154</v>
      </c>
      <c r="E19" s="14" t="s">
        <v>359</v>
      </c>
      <c r="F19" s="14" t="s">
        <v>359</v>
      </c>
      <c r="G19" s="14" t="s">
        <v>360</v>
      </c>
    </row>
    <row r="20" spans="1:7" ht="48" customHeight="1" x14ac:dyDescent="0.25">
      <c r="A20" s="13" t="s">
        <v>98</v>
      </c>
      <c r="B20" s="13" t="s">
        <v>249</v>
      </c>
      <c r="C20" s="13" t="s">
        <v>254</v>
      </c>
      <c r="D20" s="13" t="s">
        <v>253</v>
      </c>
      <c r="E20" s="13" t="s">
        <v>359</v>
      </c>
      <c r="F20" s="13" t="s">
        <v>359</v>
      </c>
      <c r="G20" s="13" t="s">
        <v>355</v>
      </c>
    </row>
    <row r="21" spans="1:7" ht="48" customHeight="1" x14ac:dyDescent="0.25">
      <c r="A21" s="13" t="s">
        <v>98</v>
      </c>
      <c r="B21" s="13" t="s">
        <v>259</v>
      </c>
      <c r="C21" s="13" t="s">
        <v>261</v>
      </c>
      <c r="D21" s="13" t="s">
        <v>151</v>
      </c>
      <c r="E21" s="13" t="s">
        <v>262</v>
      </c>
      <c r="F21" s="13" t="s">
        <v>263</v>
      </c>
      <c r="G21" s="13" t="s">
        <v>361</v>
      </c>
    </row>
    <row r="22" spans="1:7" ht="48" customHeight="1" x14ac:dyDescent="0.25">
      <c r="A22" s="13" t="s">
        <v>98</v>
      </c>
      <c r="B22" s="13" t="s">
        <v>268</v>
      </c>
      <c r="C22" s="13" t="s">
        <v>273</v>
      </c>
      <c r="D22" s="13" t="s">
        <v>272</v>
      </c>
      <c r="E22" s="13" t="s">
        <v>274</v>
      </c>
      <c r="F22" s="13" t="s">
        <v>275</v>
      </c>
      <c r="G22" s="13" t="s">
        <v>357</v>
      </c>
    </row>
    <row r="23" spans="1:7" ht="48" customHeight="1" x14ac:dyDescent="0.25">
      <c r="A23" s="13" t="s">
        <v>98</v>
      </c>
      <c r="B23" s="13" t="s">
        <v>280</v>
      </c>
      <c r="C23" s="13" t="s">
        <v>285</v>
      </c>
      <c r="D23" s="13" t="s">
        <v>284</v>
      </c>
      <c r="E23" s="13" t="s">
        <v>286</v>
      </c>
      <c r="F23" s="13" t="s">
        <v>287</v>
      </c>
      <c r="G23" s="13" t="s">
        <v>355</v>
      </c>
    </row>
    <row r="24" spans="1:7" ht="48" customHeight="1" x14ac:dyDescent="0.25">
      <c r="A24" s="14" t="s">
        <v>99</v>
      </c>
      <c r="B24" s="14" t="s">
        <v>175</v>
      </c>
      <c r="C24" s="14" t="s">
        <v>180</v>
      </c>
      <c r="D24" s="14" t="s">
        <v>179</v>
      </c>
      <c r="E24" s="14" t="s">
        <v>181</v>
      </c>
      <c r="F24" s="14" t="s">
        <v>182</v>
      </c>
      <c r="G24" s="14" t="s">
        <v>355</v>
      </c>
    </row>
    <row r="25" spans="1:7" ht="48" customHeight="1" x14ac:dyDescent="0.25">
      <c r="A25" s="14" t="s">
        <v>99</v>
      </c>
      <c r="B25" s="14" t="s">
        <v>249</v>
      </c>
      <c r="C25" s="14" t="s">
        <v>254</v>
      </c>
      <c r="D25" s="14" t="s">
        <v>253</v>
      </c>
      <c r="E25" s="14" t="s">
        <v>359</v>
      </c>
      <c r="F25" s="14" t="s">
        <v>359</v>
      </c>
      <c r="G25" s="14" t="s">
        <v>355</v>
      </c>
    </row>
    <row r="26" spans="1:7" ht="48" customHeight="1" x14ac:dyDescent="0.25">
      <c r="A26" s="14" t="s">
        <v>99</v>
      </c>
      <c r="B26" s="14" t="s">
        <v>280</v>
      </c>
      <c r="C26" s="14" t="s">
        <v>285</v>
      </c>
      <c r="D26" s="14" t="s">
        <v>284</v>
      </c>
      <c r="E26" s="14" t="s">
        <v>286</v>
      </c>
      <c r="F26" s="14" t="s">
        <v>287</v>
      </c>
      <c r="G26" s="14" t="s">
        <v>355</v>
      </c>
    </row>
    <row r="27" spans="1:7" ht="48" customHeight="1" x14ac:dyDescent="0.25">
      <c r="A27" s="13" t="s">
        <v>100</v>
      </c>
      <c r="B27" s="13" t="s">
        <v>175</v>
      </c>
      <c r="C27" s="13" t="s">
        <v>180</v>
      </c>
      <c r="D27" s="13" t="s">
        <v>179</v>
      </c>
      <c r="E27" s="13" t="s">
        <v>181</v>
      </c>
      <c r="F27" s="13" t="s">
        <v>182</v>
      </c>
      <c r="G27" s="13" t="s">
        <v>355</v>
      </c>
    </row>
    <row r="28" spans="1:7" ht="48" customHeight="1" x14ac:dyDescent="0.25">
      <c r="A28" s="13" t="s">
        <v>100</v>
      </c>
      <c r="B28" s="13" t="s">
        <v>197</v>
      </c>
      <c r="C28" s="13" t="s">
        <v>201</v>
      </c>
      <c r="D28" s="13" t="s">
        <v>200</v>
      </c>
      <c r="E28" s="13" t="s">
        <v>202</v>
      </c>
      <c r="F28" s="13" t="s">
        <v>203</v>
      </c>
      <c r="G28" s="13" t="s">
        <v>355</v>
      </c>
    </row>
    <row r="29" spans="1:7" ht="48" customHeight="1" x14ac:dyDescent="0.25">
      <c r="A29" s="13" t="s">
        <v>100</v>
      </c>
      <c r="B29" s="13" t="s">
        <v>227</v>
      </c>
      <c r="C29" s="13" t="s">
        <v>231</v>
      </c>
      <c r="D29" s="13" t="s">
        <v>230</v>
      </c>
      <c r="E29" s="13" t="s">
        <v>232</v>
      </c>
      <c r="F29" s="13" t="s">
        <v>233</v>
      </c>
      <c r="G29" s="13" t="s">
        <v>356</v>
      </c>
    </row>
    <row r="30" spans="1:7" ht="48" customHeight="1" x14ac:dyDescent="0.25">
      <c r="A30" s="14" t="s">
        <v>101</v>
      </c>
      <c r="B30" s="14" t="s">
        <v>175</v>
      </c>
      <c r="C30" s="14" t="s">
        <v>180</v>
      </c>
      <c r="D30" s="14" t="s">
        <v>179</v>
      </c>
      <c r="E30" s="14" t="s">
        <v>181</v>
      </c>
      <c r="F30" s="14" t="s">
        <v>182</v>
      </c>
      <c r="G30" s="14" t="s">
        <v>355</v>
      </c>
    </row>
    <row r="31" spans="1:7" ht="48" customHeight="1" x14ac:dyDescent="0.25">
      <c r="A31" s="14" t="s">
        <v>101</v>
      </c>
      <c r="B31" s="14" t="s">
        <v>197</v>
      </c>
      <c r="C31" s="14" t="s">
        <v>201</v>
      </c>
      <c r="D31" s="14" t="s">
        <v>200</v>
      </c>
      <c r="E31" s="14" t="s">
        <v>202</v>
      </c>
      <c r="F31" s="14" t="s">
        <v>203</v>
      </c>
      <c r="G31" s="14" t="s">
        <v>355</v>
      </c>
    </row>
    <row r="32" spans="1:7" ht="48" customHeight="1" x14ac:dyDescent="0.25">
      <c r="A32" s="14" t="s">
        <v>101</v>
      </c>
      <c r="B32" s="14" t="s">
        <v>227</v>
      </c>
      <c r="C32" s="14" t="s">
        <v>231</v>
      </c>
      <c r="D32" s="14" t="s">
        <v>230</v>
      </c>
      <c r="E32" s="14" t="s">
        <v>232</v>
      </c>
      <c r="F32" s="14" t="s">
        <v>233</v>
      </c>
      <c r="G32" s="14" t="s">
        <v>356</v>
      </c>
    </row>
    <row r="33" spans="1:7" ht="48" customHeight="1" x14ac:dyDescent="0.25">
      <c r="A33" s="14" t="s">
        <v>101</v>
      </c>
      <c r="B33" s="14" t="s">
        <v>238</v>
      </c>
      <c r="C33" s="14" t="s">
        <v>242</v>
      </c>
      <c r="D33" s="14" t="s">
        <v>241</v>
      </c>
      <c r="E33" s="14" t="s">
        <v>243</v>
      </c>
      <c r="F33" s="14" t="s">
        <v>244</v>
      </c>
      <c r="G33" s="14" t="s">
        <v>355</v>
      </c>
    </row>
    <row r="34" spans="1:7" ht="48" customHeight="1" x14ac:dyDescent="0.25">
      <c r="A34" s="14" t="s">
        <v>101</v>
      </c>
      <c r="B34" s="14" t="s">
        <v>249</v>
      </c>
      <c r="C34" s="14" t="s">
        <v>254</v>
      </c>
      <c r="D34" s="14" t="s">
        <v>253</v>
      </c>
      <c r="E34" s="14" t="s">
        <v>359</v>
      </c>
      <c r="F34" s="14" t="s">
        <v>359</v>
      </c>
      <c r="G34" s="14" t="s">
        <v>355</v>
      </c>
    </row>
    <row r="35" spans="1:7" ht="48" customHeight="1" x14ac:dyDescent="0.25"/>
    <row r="36" spans="1:7" ht="48" customHeight="1" x14ac:dyDescent="0.25"/>
    <row r="37" spans="1:7" ht="48" customHeight="1" x14ac:dyDescent="0.25"/>
    <row r="38" spans="1:7" ht="48" customHeight="1" x14ac:dyDescent="0.25"/>
    <row r="39" spans="1:7" ht="48" customHeight="1" x14ac:dyDescent="0.25"/>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4"/>
  <sheetViews>
    <sheetView zoomScaleNormal="100" workbookViewId="0"/>
  </sheetViews>
  <sheetFormatPr defaultColWidth="8.7109375" defaultRowHeight="15" x14ac:dyDescent="0.25"/>
  <cols>
    <col min="1" max="1" width="5" customWidth="1"/>
    <col min="2" max="2" width="16" customWidth="1"/>
    <col min="3" max="3" width="90" customWidth="1"/>
    <col min="4" max="4" width="48" customWidth="1"/>
    <col min="5" max="5" width="22" customWidth="1"/>
    <col min="6" max="6" width="10" customWidth="1"/>
  </cols>
  <sheetData>
    <row r="1" spans="1:6" ht="17.25" customHeight="1" x14ac:dyDescent="0.25">
      <c r="A1" s="1" t="s">
        <v>362</v>
      </c>
    </row>
    <row r="3" spans="1:6" ht="15" customHeight="1" x14ac:dyDescent="0.25">
      <c r="A3" s="5" t="s">
        <v>363</v>
      </c>
      <c r="B3" s="5" t="s">
        <v>40</v>
      </c>
      <c r="C3" s="5" t="s">
        <v>364</v>
      </c>
      <c r="D3" s="5" t="s">
        <v>365</v>
      </c>
      <c r="E3" s="5" t="s">
        <v>303</v>
      </c>
      <c r="F3" s="5" t="s">
        <v>366</v>
      </c>
    </row>
    <row r="4" spans="1:6" ht="48" customHeight="1" x14ac:dyDescent="0.25">
      <c r="A4" s="10">
        <v>1</v>
      </c>
      <c r="B4" s="4" t="s">
        <v>63</v>
      </c>
      <c r="C4" s="4" t="s">
        <v>367</v>
      </c>
      <c r="D4" s="4" t="s">
        <v>368</v>
      </c>
      <c r="E4" s="10" t="s">
        <v>369</v>
      </c>
      <c r="F4" s="10" t="s">
        <v>370</v>
      </c>
    </row>
    <row r="5" spans="1:6" ht="48" customHeight="1" x14ac:dyDescent="0.25">
      <c r="A5" s="10">
        <v>2</v>
      </c>
      <c r="B5" s="4" t="s">
        <v>63</v>
      </c>
      <c r="C5" s="4" t="s">
        <v>371</v>
      </c>
      <c r="D5" s="4" t="s">
        <v>372</v>
      </c>
      <c r="E5" s="10" t="s">
        <v>369</v>
      </c>
      <c r="F5" s="10" t="s">
        <v>370</v>
      </c>
    </row>
    <row r="6" spans="1:6" x14ac:dyDescent="0.25">
      <c r="A6" s="10">
        <v>3</v>
      </c>
      <c r="B6" s="4" t="s">
        <v>63</v>
      </c>
      <c r="C6" s="4" t="s">
        <v>373</v>
      </c>
      <c r="D6" s="4" t="s">
        <v>374</v>
      </c>
      <c r="E6" s="10" t="s">
        <v>369</v>
      </c>
      <c r="F6" s="10" t="s">
        <v>370</v>
      </c>
    </row>
    <row r="7" spans="1:6" ht="48" customHeight="1" x14ac:dyDescent="0.25">
      <c r="A7" s="10">
        <v>4</v>
      </c>
      <c r="B7" s="4" t="s">
        <v>63</v>
      </c>
      <c r="C7" s="4" t="s">
        <v>375</v>
      </c>
      <c r="D7" s="4" t="s">
        <v>376</v>
      </c>
      <c r="E7" s="10" t="s">
        <v>369</v>
      </c>
      <c r="F7" s="10" t="s">
        <v>377</v>
      </c>
    </row>
    <row r="8" spans="1:6" ht="48" customHeight="1" x14ac:dyDescent="0.25">
      <c r="A8" s="10">
        <v>5</v>
      </c>
      <c r="B8" s="4" t="s">
        <v>83</v>
      </c>
      <c r="C8" s="4" t="s">
        <v>378</v>
      </c>
      <c r="D8" s="4" t="s">
        <v>379</v>
      </c>
      <c r="E8" s="10" t="s">
        <v>369</v>
      </c>
      <c r="F8" s="10" t="s">
        <v>370</v>
      </c>
    </row>
    <row r="9" spans="1:6" ht="48" customHeight="1" x14ac:dyDescent="0.25">
      <c r="A9" s="10">
        <v>6</v>
      </c>
      <c r="B9" s="4" t="s">
        <v>63</v>
      </c>
      <c r="C9" s="4" t="s">
        <v>380</v>
      </c>
      <c r="D9" s="4" t="s">
        <v>381</v>
      </c>
      <c r="E9" s="10" t="s">
        <v>369</v>
      </c>
      <c r="F9" s="10" t="s">
        <v>370</v>
      </c>
    </row>
    <row r="10" spans="1:6" ht="48" customHeight="1" x14ac:dyDescent="0.25">
      <c r="A10" s="10">
        <v>7</v>
      </c>
      <c r="B10" s="4" t="s">
        <v>382</v>
      </c>
      <c r="C10" s="4" t="s">
        <v>383</v>
      </c>
      <c r="D10" s="4" t="s">
        <v>384</v>
      </c>
      <c r="E10" s="10" t="s">
        <v>369</v>
      </c>
      <c r="F10" s="10" t="s">
        <v>377</v>
      </c>
    </row>
    <row r="11" spans="1:6" ht="25.5" x14ac:dyDescent="0.25">
      <c r="A11" s="10">
        <v>8</v>
      </c>
      <c r="B11" s="4" t="s">
        <v>67</v>
      </c>
      <c r="C11" s="4" t="s">
        <v>385</v>
      </c>
      <c r="D11" s="4" t="s">
        <v>386</v>
      </c>
      <c r="E11" s="10" t="s">
        <v>387</v>
      </c>
      <c r="F11" s="10" t="s">
        <v>370</v>
      </c>
    </row>
    <row r="12" spans="1:6" x14ac:dyDescent="0.25">
      <c r="A12" s="10">
        <v>9</v>
      </c>
      <c r="B12" s="4" t="s">
        <v>67</v>
      </c>
      <c r="C12" s="4" t="s">
        <v>388</v>
      </c>
      <c r="D12" s="4" t="s">
        <v>389</v>
      </c>
      <c r="E12" s="10" t="s">
        <v>369</v>
      </c>
      <c r="F12" s="10" t="s">
        <v>370</v>
      </c>
    </row>
    <row r="13" spans="1:6" x14ac:dyDescent="0.25">
      <c r="A13" s="10">
        <v>10</v>
      </c>
      <c r="B13" s="4" t="s">
        <v>67</v>
      </c>
      <c r="C13" s="4" t="s">
        <v>390</v>
      </c>
      <c r="D13" s="4" t="s">
        <v>372</v>
      </c>
      <c r="E13" s="10" t="s">
        <v>369</v>
      </c>
      <c r="F13" s="10" t="s">
        <v>370</v>
      </c>
    </row>
    <row r="14" spans="1:6" ht="48" customHeight="1" x14ac:dyDescent="0.25">
      <c r="A14" s="10">
        <v>11</v>
      </c>
      <c r="B14" s="4" t="s">
        <v>67</v>
      </c>
      <c r="C14" s="4" t="s">
        <v>391</v>
      </c>
      <c r="D14" s="4" t="s">
        <v>392</v>
      </c>
      <c r="E14" s="10" t="s">
        <v>369</v>
      </c>
      <c r="F14" s="10" t="s">
        <v>377</v>
      </c>
    </row>
    <row r="15" spans="1:6" ht="48" customHeight="1" x14ac:dyDescent="0.25">
      <c r="A15" s="10">
        <v>12</v>
      </c>
      <c r="B15" s="4" t="s">
        <v>67</v>
      </c>
      <c r="C15" s="4" t="s">
        <v>393</v>
      </c>
      <c r="D15" s="4" t="s">
        <v>394</v>
      </c>
      <c r="E15" s="10" t="s">
        <v>369</v>
      </c>
      <c r="F15" s="10" t="s">
        <v>370</v>
      </c>
    </row>
    <row r="16" spans="1:6" x14ac:dyDescent="0.25">
      <c r="A16" s="10">
        <v>13</v>
      </c>
      <c r="B16" s="4" t="s">
        <v>67</v>
      </c>
      <c r="C16" s="4" t="s">
        <v>395</v>
      </c>
      <c r="D16" s="4" t="s">
        <v>396</v>
      </c>
      <c r="E16" s="10" t="s">
        <v>369</v>
      </c>
      <c r="F16" s="10" t="s">
        <v>370</v>
      </c>
    </row>
    <row r="17" spans="1:6" ht="48" customHeight="1" x14ac:dyDescent="0.25">
      <c r="A17" s="10">
        <v>14</v>
      </c>
      <c r="B17" s="4" t="s">
        <v>67</v>
      </c>
      <c r="C17" s="4" t="s">
        <v>397</v>
      </c>
      <c r="D17" s="4" t="s">
        <v>398</v>
      </c>
      <c r="E17" s="10" t="s">
        <v>369</v>
      </c>
      <c r="F17" s="10" t="s">
        <v>377</v>
      </c>
    </row>
    <row r="18" spans="1:6" x14ac:dyDescent="0.25">
      <c r="A18" s="10">
        <v>15</v>
      </c>
      <c r="B18" s="4" t="s">
        <v>56</v>
      </c>
      <c r="C18" s="4" t="s">
        <v>399</v>
      </c>
      <c r="D18" s="4" t="s">
        <v>400</v>
      </c>
      <c r="E18" s="10" t="s">
        <v>369</v>
      </c>
      <c r="F18" s="10" t="s">
        <v>370</v>
      </c>
    </row>
    <row r="19" spans="1:6" ht="48" customHeight="1" x14ac:dyDescent="0.25">
      <c r="A19" s="10">
        <v>16</v>
      </c>
      <c r="B19" s="4" t="s">
        <v>44</v>
      </c>
      <c r="C19" s="4" t="s">
        <v>401</v>
      </c>
      <c r="D19" s="4" t="s">
        <v>394</v>
      </c>
      <c r="E19" s="10" t="s">
        <v>369</v>
      </c>
      <c r="F19" s="10" t="s">
        <v>370</v>
      </c>
    </row>
    <row r="20" spans="1:6" ht="25.5" x14ac:dyDescent="0.25">
      <c r="A20" s="10">
        <v>17</v>
      </c>
      <c r="B20" s="4" t="s">
        <v>44</v>
      </c>
      <c r="C20" s="4" t="s">
        <v>402</v>
      </c>
      <c r="D20" s="4" t="s">
        <v>403</v>
      </c>
      <c r="E20" s="10" t="s">
        <v>387</v>
      </c>
      <c r="F20" s="10" t="s">
        <v>377</v>
      </c>
    </row>
    <row r="21" spans="1:6" ht="48" customHeight="1" x14ac:dyDescent="0.25">
      <c r="A21" s="10">
        <v>18</v>
      </c>
      <c r="B21" s="4" t="s">
        <v>87</v>
      </c>
      <c r="C21" s="4" t="s">
        <v>404</v>
      </c>
      <c r="D21" s="4" t="s">
        <v>405</v>
      </c>
      <c r="E21" s="10" t="s">
        <v>406</v>
      </c>
      <c r="F21" s="10" t="s">
        <v>377</v>
      </c>
    </row>
    <row r="22" spans="1:6" ht="48" customHeight="1" x14ac:dyDescent="0.25">
      <c r="A22" s="10">
        <v>19</v>
      </c>
      <c r="B22" s="4" t="s">
        <v>407</v>
      </c>
      <c r="C22" s="4" t="s">
        <v>408</v>
      </c>
      <c r="D22" s="4" t="s">
        <v>409</v>
      </c>
      <c r="E22" s="10" t="s">
        <v>406</v>
      </c>
      <c r="F22" s="10" t="s">
        <v>377</v>
      </c>
    </row>
    <row r="24" spans="1:6" x14ac:dyDescent="0.25">
      <c r="B24" t="s">
        <v>410</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zoomScaleNormal="100" workbookViewId="0"/>
  </sheetViews>
  <sheetFormatPr defaultColWidth="8.7109375" defaultRowHeight="15" x14ac:dyDescent="0.25"/>
  <cols>
    <col min="1" max="1" width="24" customWidth="1"/>
    <col min="2" max="2" width="34" customWidth="1"/>
    <col min="3" max="3" width="48" customWidth="1"/>
    <col min="4" max="4" width="26" customWidth="1"/>
    <col min="5" max="5" width="70" customWidth="1"/>
  </cols>
  <sheetData>
    <row r="1" spans="1:5" ht="17.25" customHeight="1" x14ac:dyDescent="0.25">
      <c r="A1" s="1" t="s">
        <v>411</v>
      </c>
    </row>
    <row r="2" spans="1:5" ht="15" customHeight="1" x14ac:dyDescent="0.25">
      <c r="A2" s="2" t="s">
        <v>412</v>
      </c>
    </row>
    <row r="3" spans="1:5" ht="15" customHeight="1" x14ac:dyDescent="0.25">
      <c r="A3" s="5"/>
      <c r="B3" s="5"/>
      <c r="C3" s="5"/>
      <c r="D3" s="5"/>
      <c r="E3" s="5"/>
    </row>
    <row r="4" spans="1:5" ht="15" customHeight="1" x14ac:dyDescent="0.25">
      <c r="A4" s="4" t="s">
        <v>95</v>
      </c>
      <c r="B4" s="4" t="s">
        <v>165</v>
      </c>
      <c r="C4" s="4" t="s">
        <v>413</v>
      </c>
      <c r="D4" s="15" t="s">
        <v>303</v>
      </c>
      <c r="E4" s="4" t="s">
        <v>414</v>
      </c>
    </row>
    <row r="5" spans="1:5" ht="15" customHeight="1" x14ac:dyDescent="0.25">
      <c r="A5" s="4" t="s">
        <v>175</v>
      </c>
      <c r="B5" s="4" t="s">
        <v>415</v>
      </c>
      <c r="C5" s="4" t="s">
        <v>416</v>
      </c>
      <c r="D5" s="16" t="s">
        <v>355</v>
      </c>
      <c r="E5" s="4" t="s">
        <v>417</v>
      </c>
    </row>
    <row r="6" spans="1:5" ht="15" customHeight="1" x14ac:dyDescent="0.25">
      <c r="A6" s="4" t="s">
        <v>187</v>
      </c>
      <c r="B6" s="4" t="s">
        <v>188</v>
      </c>
      <c r="C6" s="4" t="s">
        <v>418</v>
      </c>
      <c r="D6" s="15" t="s">
        <v>358</v>
      </c>
      <c r="E6" s="4" t="s">
        <v>419</v>
      </c>
    </row>
    <row r="7" spans="1:5" ht="15" customHeight="1" x14ac:dyDescent="0.25">
      <c r="A7" s="4" t="s">
        <v>197</v>
      </c>
      <c r="B7" s="4" t="s">
        <v>198</v>
      </c>
      <c r="C7" s="4" t="s">
        <v>420</v>
      </c>
      <c r="D7" s="15" t="s">
        <v>355</v>
      </c>
      <c r="E7" s="4"/>
    </row>
    <row r="8" spans="1:5" ht="23.25" customHeight="1" x14ac:dyDescent="0.25">
      <c r="A8" s="4" t="s">
        <v>208</v>
      </c>
      <c r="B8" s="4" t="s">
        <v>209</v>
      </c>
      <c r="C8" s="4" t="s">
        <v>421</v>
      </c>
      <c r="D8" s="15" t="s">
        <v>355</v>
      </c>
      <c r="E8" s="4" t="s">
        <v>422</v>
      </c>
    </row>
    <row r="9" spans="1:5" ht="15" customHeight="1" x14ac:dyDescent="0.25">
      <c r="A9" s="4" t="s">
        <v>217</v>
      </c>
      <c r="B9" s="4" t="s">
        <v>218</v>
      </c>
      <c r="C9" s="4" t="s">
        <v>423</v>
      </c>
      <c r="D9" s="17" t="s">
        <v>355</v>
      </c>
      <c r="E9" s="4"/>
    </row>
    <row r="10" spans="1:5" ht="15" customHeight="1" x14ac:dyDescent="0.25">
      <c r="A10" s="4" t="s">
        <v>227</v>
      </c>
      <c r="B10" s="4" t="s">
        <v>228</v>
      </c>
      <c r="C10" s="4" t="s">
        <v>424</v>
      </c>
      <c r="D10" s="15" t="s">
        <v>356</v>
      </c>
      <c r="E10" s="4" t="s">
        <v>425</v>
      </c>
    </row>
    <row r="11" spans="1:5" ht="23.25" customHeight="1" x14ac:dyDescent="0.25">
      <c r="A11" s="4" t="s">
        <v>238</v>
      </c>
      <c r="B11" s="4" t="s">
        <v>239</v>
      </c>
      <c r="C11" s="4" t="s">
        <v>426</v>
      </c>
      <c r="D11" s="15" t="s">
        <v>355</v>
      </c>
      <c r="E11" s="4" t="s">
        <v>427</v>
      </c>
    </row>
    <row r="12" spans="1:5" ht="23.25" customHeight="1" x14ac:dyDescent="0.25">
      <c r="A12" s="4" t="s">
        <v>249</v>
      </c>
      <c r="B12" s="4" t="s">
        <v>428</v>
      </c>
      <c r="C12" s="4" t="s">
        <v>429</v>
      </c>
      <c r="D12" s="15" t="s">
        <v>355</v>
      </c>
      <c r="E12" s="4" t="s">
        <v>430</v>
      </c>
    </row>
    <row r="13" spans="1:5" ht="15" customHeight="1" x14ac:dyDescent="0.25">
      <c r="A13" s="4" t="s">
        <v>259</v>
      </c>
      <c r="B13" s="4" t="s">
        <v>431</v>
      </c>
      <c r="C13" s="4" t="s">
        <v>432</v>
      </c>
      <c r="D13" s="16" t="s">
        <v>361</v>
      </c>
      <c r="E13" s="4" t="s">
        <v>433</v>
      </c>
    </row>
    <row r="14" spans="1:5" ht="23.25" customHeight="1" x14ac:dyDescent="0.25">
      <c r="A14" s="4" t="s">
        <v>268</v>
      </c>
      <c r="B14" s="4" t="s">
        <v>269</v>
      </c>
      <c r="C14" s="4" t="s">
        <v>434</v>
      </c>
      <c r="D14" s="15" t="s">
        <v>357</v>
      </c>
      <c r="E14" s="4" t="s">
        <v>435</v>
      </c>
    </row>
    <row r="15" spans="1:5" ht="15" customHeight="1" x14ac:dyDescent="0.25">
      <c r="A15" t="s">
        <v>280</v>
      </c>
      <c r="B15" t="s">
        <v>436</v>
      </c>
      <c r="C15" t="s">
        <v>437</v>
      </c>
      <c r="D15" t="s">
        <v>355</v>
      </c>
      <c r="E15" t="s">
        <v>438</v>
      </c>
    </row>
    <row r="16" spans="1:5" ht="15" customHeight="1" x14ac:dyDescent="0.25">
      <c r="A16" t="s">
        <v>292</v>
      </c>
      <c r="B16" t="s">
        <v>439</v>
      </c>
      <c r="C16" t="s">
        <v>440</v>
      </c>
      <c r="D16" t="s">
        <v>360</v>
      </c>
      <c r="E16" t="s">
        <v>441</v>
      </c>
    </row>
    <row r="17" ht="15" customHeight="1" x14ac:dyDescent="0.25"/>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5"/>
  <sheetViews>
    <sheetView zoomScaleNormal="100" workbookViewId="0"/>
  </sheetViews>
  <sheetFormatPr defaultColWidth="8.7109375" defaultRowHeight="15" x14ac:dyDescent="0.25"/>
  <cols>
    <col min="1" max="1" width="6" customWidth="1"/>
    <col min="2" max="2" width="60" customWidth="1"/>
    <col min="3" max="3" width="90" customWidth="1"/>
    <col min="4" max="4" width="20" customWidth="1"/>
  </cols>
  <sheetData>
    <row r="1" spans="1:4" ht="17.25" customHeight="1" x14ac:dyDescent="0.25">
      <c r="A1" s="1" t="s">
        <v>442</v>
      </c>
    </row>
    <row r="3" spans="1:4" ht="15" customHeight="1" x14ac:dyDescent="0.25">
      <c r="A3" s="5" t="s">
        <v>443</v>
      </c>
      <c r="B3" s="5" t="s">
        <v>444</v>
      </c>
      <c r="C3" s="5" t="s">
        <v>445</v>
      </c>
      <c r="D3" s="5" t="s">
        <v>446</v>
      </c>
    </row>
    <row r="4" spans="1:4" ht="15" customHeight="1" x14ac:dyDescent="0.25">
      <c r="A4" s="10">
        <v>1</v>
      </c>
      <c r="B4" s="4" t="s">
        <v>447</v>
      </c>
      <c r="C4" s="4" t="s">
        <v>448</v>
      </c>
      <c r="D4" s="10" t="s">
        <v>449</v>
      </c>
    </row>
    <row r="5" spans="1:4" ht="15" customHeight="1" x14ac:dyDescent="0.25">
      <c r="A5" s="10">
        <v>2</v>
      </c>
      <c r="B5" s="4" t="s">
        <v>450</v>
      </c>
      <c r="C5" s="4" t="s">
        <v>451</v>
      </c>
      <c r="D5" s="10" t="s">
        <v>449</v>
      </c>
    </row>
    <row r="6" spans="1:4" ht="15" customHeight="1" x14ac:dyDescent="0.25">
      <c r="A6" s="10">
        <v>3</v>
      </c>
      <c r="B6" s="4" t="s">
        <v>452</v>
      </c>
      <c r="C6" s="4" t="s">
        <v>453</v>
      </c>
      <c r="D6" s="10" t="s">
        <v>449</v>
      </c>
    </row>
    <row r="7" spans="1:4" ht="15" customHeight="1" x14ac:dyDescent="0.25">
      <c r="A7" s="10">
        <v>4</v>
      </c>
      <c r="B7" s="4" t="s">
        <v>454</v>
      </c>
      <c r="C7" s="4" t="s">
        <v>455</v>
      </c>
      <c r="D7" s="10" t="s">
        <v>449</v>
      </c>
    </row>
    <row r="8" spans="1:4" ht="15" customHeight="1" x14ac:dyDescent="0.25">
      <c r="A8" s="10">
        <v>5</v>
      </c>
      <c r="B8" s="4" t="s">
        <v>456</v>
      </c>
      <c r="C8" s="4" t="s">
        <v>457</v>
      </c>
      <c r="D8" s="10" t="s">
        <v>449</v>
      </c>
    </row>
    <row r="9" spans="1:4" ht="15" customHeight="1" x14ac:dyDescent="0.25">
      <c r="A9" s="10">
        <v>6</v>
      </c>
      <c r="B9" s="4" t="s">
        <v>458</v>
      </c>
      <c r="C9" s="4" t="s">
        <v>459</v>
      </c>
      <c r="D9" s="10" t="s">
        <v>449</v>
      </c>
    </row>
    <row r="10" spans="1:4" ht="15" customHeight="1" x14ac:dyDescent="0.25">
      <c r="A10" s="10">
        <v>7</v>
      </c>
      <c r="B10" s="4" t="s">
        <v>460</v>
      </c>
      <c r="C10" s="4" t="s">
        <v>461</v>
      </c>
      <c r="D10" s="10" t="s">
        <v>449</v>
      </c>
    </row>
    <row r="11" spans="1:4" ht="15" customHeight="1" x14ac:dyDescent="0.25">
      <c r="A11" s="10">
        <v>8</v>
      </c>
      <c r="B11" s="4" t="s">
        <v>462</v>
      </c>
      <c r="C11" s="4" t="s">
        <v>463</v>
      </c>
      <c r="D11" s="10" t="s">
        <v>449</v>
      </c>
    </row>
    <row r="12" spans="1:4" ht="15" customHeight="1" x14ac:dyDescent="0.25">
      <c r="A12" s="10">
        <v>9</v>
      </c>
      <c r="B12" s="4" t="s">
        <v>464</v>
      </c>
      <c r="C12" s="4" t="s">
        <v>465</v>
      </c>
      <c r="D12" s="10" t="s">
        <v>449</v>
      </c>
    </row>
    <row r="13" spans="1:4" ht="15" customHeight="1" x14ac:dyDescent="0.25">
      <c r="A13" s="10">
        <v>10</v>
      </c>
      <c r="B13" s="4" t="s">
        <v>466</v>
      </c>
      <c r="C13" s="4" t="s">
        <v>467</v>
      </c>
      <c r="D13" s="10" t="s">
        <v>449</v>
      </c>
    </row>
    <row r="14" spans="1:4" ht="15" customHeight="1" x14ac:dyDescent="0.25">
      <c r="A14" s="10">
        <v>11</v>
      </c>
      <c r="B14" s="4" t="s">
        <v>468</v>
      </c>
      <c r="C14" s="4" t="s">
        <v>469</v>
      </c>
      <c r="D14" s="10" t="s">
        <v>449</v>
      </c>
    </row>
    <row r="15" spans="1:4" ht="15" customHeight="1" x14ac:dyDescent="0.25">
      <c r="A15" s="10">
        <v>12</v>
      </c>
      <c r="B15" s="4" t="s">
        <v>470</v>
      </c>
      <c r="C15" s="4" t="s">
        <v>471</v>
      </c>
      <c r="D15" s="10" t="s">
        <v>449</v>
      </c>
    </row>
    <row r="16" spans="1:4" ht="15" customHeight="1" x14ac:dyDescent="0.25">
      <c r="A16" s="10">
        <v>13</v>
      </c>
      <c r="B16" s="4" t="s">
        <v>472</v>
      </c>
      <c r="C16" s="4" t="s">
        <v>473</v>
      </c>
      <c r="D16" s="10" t="s">
        <v>449</v>
      </c>
    </row>
    <row r="17" spans="1:4" ht="15" customHeight="1" x14ac:dyDescent="0.25">
      <c r="A17" s="10">
        <v>14</v>
      </c>
      <c r="B17" s="4" t="s">
        <v>474</v>
      </c>
      <c r="C17" s="4" t="s">
        <v>475</v>
      </c>
      <c r="D17" s="10" t="s">
        <v>449</v>
      </c>
    </row>
    <row r="18" spans="1:4" ht="15" customHeight="1" x14ac:dyDescent="0.25">
      <c r="A18" s="10">
        <v>15</v>
      </c>
      <c r="B18" s="4" t="s">
        <v>476</v>
      </c>
      <c r="C18" s="4" t="s">
        <v>477</v>
      </c>
      <c r="D18" s="10" t="s">
        <v>449</v>
      </c>
    </row>
    <row r="19" spans="1:4" ht="15" customHeight="1" x14ac:dyDescent="0.25">
      <c r="A19" s="10">
        <v>16</v>
      </c>
      <c r="B19" s="4" t="s">
        <v>478</v>
      </c>
      <c r="C19" s="4" t="s">
        <v>479</v>
      </c>
      <c r="D19" s="10" t="s">
        <v>449</v>
      </c>
    </row>
    <row r="20" spans="1:4" ht="15" customHeight="1" x14ac:dyDescent="0.25">
      <c r="A20" s="10">
        <v>17</v>
      </c>
      <c r="B20" s="4" t="s">
        <v>480</v>
      </c>
      <c r="C20" s="4" t="s">
        <v>481</v>
      </c>
      <c r="D20" s="10" t="s">
        <v>449</v>
      </c>
    </row>
    <row r="21" spans="1:4" ht="15" customHeight="1" x14ac:dyDescent="0.25">
      <c r="A21" s="10">
        <v>18</v>
      </c>
      <c r="B21" s="4" t="s">
        <v>482</v>
      </c>
      <c r="C21" s="4" t="s">
        <v>483</v>
      </c>
      <c r="D21" s="10" t="s">
        <v>484</v>
      </c>
    </row>
    <row r="22" spans="1:4" ht="15" customHeight="1" x14ac:dyDescent="0.25"/>
    <row r="23" spans="1:4" ht="15" customHeight="1" x14ac:dyDescent="0.25"/>
    <row r="24" spans="1:4" ht="15" customHeight="1" x14ac:dyDescent="0.25"/>
    <row r="25" spans="1:4" ht="15" customHeight="1" x14ac:dyDescent="0.25"/>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6"/>
  <sheetViews>
    <sheetView zoomScaleNormal="100" workbookViewId="0"/>
  </sheetViews>
  <sheetFormatPr defaultColWidth="8.7109375" defaultRowHeight="15" x14ac:dyDescent="0.25"/>
  <cols>
    <col min="1" max="1" width="26" customWidth="1"/>
    <col min="2" max="2" width="36" customWidth="1"/>
    <col min="3" max="3" width="70" customWidth="1"/>
    <col min="4" max="4" width="90" customWidth="1"/>
  </cols>
  <sheetData>
    <row r="1" spans="1:4" ht="15" customHeight="1" x14ac:dyDescent="0.25">
      <c r="A1" t="s">
        <v>485</v>
      </c>
    </row>
    <row r="3" spans="1:4" ht="15" customHeight="1" x14ac:dyDescent="0.25">
      <c r="A3" t="s">
        <v>486</v>
      </c>
    </row>
    <row r="4" spans="1:4" ht="15" customHeight="1" x14ac:dyDescent="0.25">
      <c r="A4" t="s">
        <v>487</v>
      </c>
    </row>
    <row r="6" spans="1:4" ht="15" customHeight="1" x14ac:dyDescent="0.25">
      <c r="A6" s="18" t="s">
        <v>95</v>
      </c>
      <c r="B6" s="18" t="s">
        <v>169</v>
      </c>
      <c r="C6" s="18" t="s">
        <v>170</v>
      </c>
      <c r="D6" s="18" t="s">
        <v>303</v>
      </c>
    </row>
    <row r="7" spans="1:4" ht="15" customHeight="1" x14ac:dyDescent="0.25">
      <c r="A7" s="19" t="s">
        <v>175</v>
      </c>
      <c r="B7" s="19" t="s">
        <v>181</v>
      </c>
      <c r="C7" s="19" t="s">
        <v>182</v>
      </c>
      <c r="D7" s="20" t="s">
        <v>488</v>
      </c>
    </row>
    <row r="8" spans="1:4" ht="15" customHeight="1" x14ac:dyDescent="0.25">
      <c r="A8" s="19" t="s">
        <v>187</v>
      </c>
      <c r="B8" s="19" t="s">
        <v>191</v>
      </c>
      <c r="C8" s="19" t="s">
        <v>192</v>
      </c>
      <c r="D8" s="20" t="s">
        <v>488</v>
      </c>
    </row>
    <row r="9" spans="1:4" ht="15" customHeight="1" x14ac:dyDescent="0.25">
      <c r="A9" s="19" t="s">
        <v>197</v>
      </c>
      <c r="B9" s="19" t="s">
        <v>202</v>
      </c>
      <c r="C9" s="19" t="s">
        <v>203</v>
      </c>
      <c r="D9" s="20" t="s">
        <v>488</v>
      </c>
    </row>
    <row r="10" spans="1:4" ht="27.75" customHeight="1" x14ac:dyDescent="0.25">
      <c r="A10" s="19" t="s">
        <v>208</v>
      </c>
      <c r="B10" s="19" t="s">
        <v>489</v>
      </c>
      <c r="C10" s="19" t="s">
        <v>212</v>
      </c>
      <c r="D10" s="20" t="s">
        <v>490</v>
      </c>
    </row>
    <row r="11" spans="1:4" ht="15" customHeight="1" x14ac:dyDescent="0.25">
      <c r="A11" s="19" t="s">
        <v>217</v>
      </c>
      <c r="B11" s="19" t="s">
        <v>221</v>
      </c>
      <c r="C11" s="19" t="s">
        <v>222</v>
      </c>
      <c r="D11" s="20" t="s">
        <v>488</v>
      </c>
    </row>
    <row r="12" spans="1:4" ht="15" customHeight="1" x14ac:dyDescent="0.25">
      <c r="A12" s="19" t="s">
        <v>227</v>
      </c>
      <c r="B12" s="19" t="s">
        <v>232</v>
      </c>
      <c r="C12" s="19" t="s">
        <v>233</v>
      </c>
      <c r="D12" s="20" t="s">
        <v>488</v>
      </c>
    </row>
    <row r="13" spans="1:4" ht="15" customHeight="1" x14ac:dyDescent="0.25">
      <c r="A13" s="19" t="s">
        <v>238</v>
      </c>
      <c r="B13" s="19" t="s">
        <v>243</v>
      </c>
      <c r="C13" s="19" t="s">
        <v>244</v>
      </c>
      <c r="D13" s="20" t="s">
        <v>488</v>
      </c>
    </row>
    <row r="14" spans="1:4" ht="27.75" customHeight="1" x14ac:dyDescent="0.25">
      <c r="A14" s="19" t="s">
        <v>249</v>
      </c>
      <c r="B14" s="19" t="s">
        <v>489</v>
      </c>
      <c r="C14" s="19" t="s">
        <v>489</v>
      </c>
      <c r="D14" s="20" t="s">
        <v>491</v>
      </c>
    </row>
    <row r="15" spans="1:4" ht="15" customHeight="1" x14ac:dyDescent="0.25">
      <c r="A15" s="19" t="s">
        <v>259</v>
      </c>
      <c r="B15" s="19" t="s">
        <v>262</v>
      </c>
      <c r="C15" s="19" t="s">
        <v>263</v>
      </c>
      <c r="D15" s="20" t="s">
        <v>488</v>
      </c>
    </row>
    <row r="16" spans="1:4" ht="15" customHeight="1" x14ac:dyDescent="0.25">
      <c r="A16" s="19" t="s">
        <v>268</v>
      </c>
      <c r="B16" s="19" t="s">
        <v>274</v>
      </c>
      <c r="C16" s="19" t="s">
        <v>275</v>
      </c>
      <c r="D16" s="20" t="s">
        <v>488</v>
      </c>
    </row>
    <row r="17" spans="1:4" ht="15" customHeight="1" x14ac:dyDescent="0.25">
      <c r="A17" s="19" t="s">
        <v>280</v>
      </c>
      <c r="B17" s="19" t="s">
        <v>286</v>
      </c>
      <c r="C17" s="19" t="s">
        <v>287</v>
      </c>
      <c r="D17" s="20" t="s">
        <v>488</v>
      </c>
    </row>
    <row r="18" spans="1:4" ht="15" customHeight="1" x14ac:dyDescent="0.25">
      <c r="A18" s="19" t="s">
        <v>292</v>
      </c>
      <c r="B18" s="19" t="s">
        <v>489</v>
      </c>
      <c r="C18" s="19" t="s">
        <v>489</v>
      </c>
      <c r="D18" s="20" t="s">
        <v>492</v>
      </c>
    </row>
    <row r="19" spans="1:4" ht="15" customHeight="1" x14ac:dyDescent="0.25"/>
    <row r="20" spans="1:4" ht="15" customHeight="1" x14ac:dyDescent="0.25">
      <c r="A20" t="s">
        <v>493</v>
      </c>
    </row>
    <row r="21" spans="1:4" ht="15" customHeight="1" x14ac:dyDescent="0.25">
      <c r="A21" t="s">
        <v>494</v>
      </c>
    </row>
    <row r="22" spans="1:4" ht="15" customHeight="1" x14ac:dyDescent="0.25"/>
    <row r="23" spans="1:4" ht="15" customHeight="1" x14ac:dyDescent="0.25">
      <c r="A23" t="s">
        <v>495</v>
      </c>
    </row>
    <row r="24" spans="1:4" ht="15" customHeight="1" x14ac:dyDescent="0.25">
      <c r="A24" t="s">
        <v>496</v>
      </c>
    </row>
    <row r="25" spans="1:4" ht="15" customHeight="1" x14ac:dyDescent="0.25">
      <c r="A25" t="s">
        <v>497</v>
      </c>
    </row>
    <row r="26" spans="1:4" ht="15" customHeight="1" x14ac:dyDescent="0.25"/>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START HERE</vt:lpstr>
      <vt:lpstr>Project map</vt:lpstr>
      <vt:lpstr>Pest x Crop</vt:lpstr>
      <vt:lpstr>Pest x Symptom</vt:lpstr>
      <vt:lpstr>Pests</vt:lpstr>
      <vt:lpstr>Crops</vt:lpstr>
      <vt:lpstr>Symptoms</vt:lpstr>
      <vt:lpstr>Crop cards</vt:lpstr>
      <vt:lpstr>Work plan</vt:lpstr>
      <vt:lpstr>Photos</vt:lpstr>
      <vt:lpstr>References</vt:lpstr>
      <vt:lpstr>Size and colour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shafaqat ali</cp:lastModifiedBy>
  <cp:revision>0</cp:revision>
  <dcterms:created xsi:type="dcterms:W3CDTF">2026-10-14T09:31:07Z</dcterms:created>
  <dcterms:modified xsi:type="dcterms:W3CDTF">2026-10-15T19:21:12Z</dcterms:modified>
  <dc:language>en-US</dc:language>
</cp:coreProperties>
</file>