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ublished data" sheetId="2" state="visible" r:id="rId2"/>
    <sheet name="Logic" sheetId="3" state="visible" r:id="rId3"/>
    <sheet name="Pest x Crop" sheetId="4" state="visible" r:id="rId4"/>
    <sheet name="Pest x Symptom" sheetId="5" state="visible" r:id="rId5"/>
    <sheet name="Pests" sheetId="6" state="visible" r:id="rId6"/>
    <sheet name="Crops" sheetId="7" state="visible" r:id="rId7"/>
    <sheet name="References"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4452A"/>
      <sz val="14"/>
    </font>
    <font>
      <name val="Arial"/>
      <color rgb="00555555"/>
      <sz val="9"/>
    </font>
    <font>
      <name val="Arial"/>
      <b val="1"/>
      <sz val="10"/>
    </font>
    <font>
      <name val="Arial"/>
      <sz val="10"/>
    </font>
    <font>
      <name val="Arial"/>
      <b val="1"/>
      <color rgb="00FFFFFF"/>
      <sz val="10"/>
    </font>
    <font>
      <b val="1"/>
      <color rgb="0014532D"/>
      <sz val="15"/>
    </font>
    <font>
      <i val="1"/>
      <color rgb="005B6B60"/>
      <sz val="10"/>
    </font>
    <font>
      <b val="1"/>
      <color rgb="00FFFFFF"/>
      <sz val="11"/>
    </font>
    <font>
      <b val="1"/>
    </font>
    <font>
      <b val="1"/>
      <color rgb="0014532D"/>
      <sz val="12"/>
    </font>
    <font>
      <b val="1"/>
      <color rgb="009C6500"/>
      <sz val="12"/>
    </font>
    <font>
      <b val="1"/>
      <color rgb="00FFFFFF"/>
    </font>
  </fonts>
  <fills count="7">
    <fill>
      <patternFill/>
    </fill>
    <fill>
      <patternFill patternType="gray125"/>
    </fill>
    <fill>
      <patternFill patternType="solid">
        <fgColor rgb="001F7A3C"/>
      </patternFill>
    </fill>
    <fill>
      <patternFill patternType="solid">
        <fgColor rgb="00D9EAD3"/>
      </patternFill>
    </fill>
    <fill>
      <patternFill patternType="solid">
        <fgColor rgb="0014532D"/>
      </patternFill>
    </fill>
    <fill>
      <patternFill patternType="solid">
        <fgColor rgb="00FFF2CC"/>
      </patternFill>
    </fill>
    <fill>
      <patternFill patternType="solid">
        <fgColor rgb="00FCE4D6"/>
      </patternFill>
    </fill>
  </fills>
  <borders count="2">
    <border>
      <left/>
      <right/>
      <top/>
      <bottom/>
      <diagonal/>
    </border>
    <border>
      <left style="thin">
        <color rgb="00C3D6C9"/>
      </left>
      <right style="thin">
        <color rgb="00C3D6C9"/>
      </right>
      <top style="thin">
        <color rgb="00C3D6C9"/>
      </top>
      <bottom style="thin">
        <color rgb="00C3D6C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horizontal="left" vertical="top" wrapText="1"/>
    </xf>
    <xf numFmtId="0" fontId="4" fillId="3" borderId="1" applyAlignment="1" pivotButton="0" quotePrefix="0" xfId="0">
      <alignment horizontal="center" vertical="top" wrapText="1"/>
    </xf>
    <xf numFmtId="0" fontId="4" fillId="0" borderId="1" applyAlignment="1" pivotButton="0" quotePrefix="0" xfId="0">
      <alignment horizontal="center" vertical="top" wrapText="1"/>
    </xf>
    <xf numFmtId="0" fontId="3" fillId="0" borderId="1" applyAlignment="1" pivotButton="0" quotePrefix="0" xfId="0">
      <alignment horizontal="center" vertical="top" wrapText="1"/>
    </xf>
    <xf numFmtId="0" fontId="4" fillId="0" borderId="1" applyAlignment="1" pivotButton="0" quotePrefix="0" xfId="0">
      <alignment horizontal="left" vertical="top" wrapText="1"/>
    </xf>
    <xf numFmtId="0" fontId="6" fillId="0" borderId="0" pivotButton="0" quotePrefix="0" xfId="0"/>
    <xf numFmtId="0" fontId="7" fillId="0" borderId="0" pivotButton="0" quotePrefix="0" xfId="0"/>
    <xf numFmtId="0" fontId="10" fillId="0" borderId="0" pivotButton="0" quotePrefix="0" xfId="0"/>
    <xf numFmtId="0" fontId="11" fillId="0" borderId="0" pivotButton="0" quotePrefix="0" xfId="0"/>
    <xf numFmtId="0" fontId="0" fillId="5" borderId="0" pivotButton="0" quotePrefix="0" xfId="0"/>
    <xf numFmtId="0" fontId="9" fillId="0" borderId="0" pivotButton="0" quotePrefix="0" xfId="0"/>
    <xf numFmtId="0" fontId="0" fillId="0" borderId="0" applyAlignment="1" pivotButton="0" quotePrefix="0" xfId="0">
      <alignment vertical="top" wrapText="1"/>
    </xf>
    <xf numFmtId="0" fontId="9" fillId="6" borderId="0" pivotButton="0" quotePrefix="0" xfId="0"/>
    <xf numFmtId="0" fontId="0" fillId="6" borderId="0" applyAlignment="1" pivotButton="0" quotePrefix="0" xfId="0">
      <alignment vertical="top" wrapText="1"/>
    </xf>
    <xf numFmtId="0" fontId="8" fillId="4" borderId="0" applyAlignment="1" pivotButton="0" quotePrefix="0" xfId="0">
      <alignment vertical="top" wrapText="1"/>
    </xf>
    <xf numFmtId="0" fontId="1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5" customWidth="1" min="2" max="2"/>
  </cols>
  <sheetData>
    <row r="1">
      <c r="A1" s="1" t="inlineStr">
        <is>
          <t>Pest2Veg: 12 main UK pests, verified</t>
        </is>
      </c>
    </row>
    <row r="2">
      <c r="A2" s="2" t="inlineStr">
        <is>
          <t>Every link is backed by a numbered source on the References sheet. Unsourced links are not included.</t>
        </is>
      </c>
    </row>
    <row r="3">
      <c r="A3" s="3" t="inlineStr">
        <is>
          <t>Checked on</t>
        </is>
      </c>
      <c r="B3" s="4" t="inlineStr">
        <is>
          <t>13 October 2026</t>
        </is>
      </c>
    </row>
    <row r="4">
      <c r="A4" s="3" t="inlineStr">
        <is>
          <t>Scope</t>
        </is>
      </c>
      <c r="B4" s="4" t="inlineStr">
        <is>
          <t>UK growers. 8 crops, 12 pests, 16 grower-visible symptoms.</t>
        </is>
      </c>
    </row>
    <row r="5">
      <c r="A5" s="3" t="inlineStr">
        <is>
          <t>Sources</t>
        </is>
      </c>
      <c r="B5" s="4" t="inlineStr">
        <is>
          <t>Royal Horticultural Society (RHS) pest pages and grow-your-own pages. No US sources.</t>
        </is>
      </c>
    </row>
    <row r="6">
      <c r="A6" s="3" t="inlineStr">
        <is>
          <t>How to read the grids</t>
        </is>
      </c>
      <c r="B6" s="4" t="inlineStr">
        <is>
          <t>A number is the supporting reference. Blank = not verified, so not in the data.</t>
        </is>
      </c>
    </row>
    <row r="7">
      <c r="A7" s="3" t="inlineStr">
        <is>
          <t>Why these 12</t>
        </is>
      </c>
      <c r="B7" s="4" t="inlineStr">
        <is>
          <t>Chosen to keep the pests that attack the most crops or have the most distinctive symptoms, dropping generic groups that a grower could not act on. Dropped from the 17-pest version: Root Aphids, Cabbage Whitefly, Flea Beetles, Spotted Wing Drosophila, Pigeons (all still sourced, can be added back). Cutworms replace Pigeons (a bird) and help Lettuce and Potato. COVERAGE IS NOT EVEN: seven crops have 3 or more pests, but SPINACH HAS ONLY ONE (Slugs and Snails). The RHS spinach grow-your-own page names slugs, birds and pigeons but no second insect pest, so we have not added an unevidenced link. Spinach is the weakest crop in the tool and should be presented as such rather than hidden. Finding a working source for spinach is the honest fix.</t>
        </is>
      </c>
    </row>
    <row r="8">
      <c r="A8" s="3" t="inlineStr">
        <is>
          <t>Matching impact</t>
        </is>
      </c>
      <c r="B8" s="4" t="inlineStr">
        <is>
          <t>High match needs 3+ matching symptoms. Pests that can reach High: Aphids, Mealy Cabbage Aphid, Glasshouse Whitefly, Cabbage Root Fly, Thrips, Slugs and Snails.</t>
        </is>
      </c>
    </row>
    <row r="9">
      <c r="A9" s="3" t="inlineStr">
        <is>
          <t>Limits</t>
        </is>
      </c>
      <c r="B9" s="4" t="inlineStr">
        <is>
          <t>Some RHS crop pages loaded only partly, so only visible text was used. Blank means not found in these sources, not proof of no link. Results are possible matches, not a diagnosis.</t>
        </is>
      </c>
    </row>
    <row r="10">
      <c r="A10" s="3" t="inlineStr">
        <is>
          <t>Scientific names</t>
        </is>
      </c>
      <c r="B10" s="4" t="inlineStr">
        <is>
          <t>Taken from the RHS page for each pest (Quick facts or text). Where the page covers a group, the group or genus is given, not a single species. Cutworm names are the three moths the RHS page names.</t>
        </is>
      </c>
    </row>
    <row r="11">
      <c r="A11" s="3" t="inlineStr">
        <is>
          <t>Wording</t>
        </is>
      </c>
      <c r="B11" s="4" t="inlineStr">
        <is>
          <t>Symptom wording must match exactly between tick boxes and data, or matching fails silently.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88" customWidth="1" min="2" max="2"/>
  </cols>
  <sheetData>
    <row r="1">
      <c r="A1" s="11" t="inlineStr">
        <is>
          <t>What the website actually publishes</t>
        </is>
      </c>
    </row>
    <row r="2">
      <c r="A2" s="12" t="inlineStr">
        <is>
          <t>What the live site publishes, and how it differs from the research in this workbook. Kept as a separate sheet so any gap is visible rather than assumed.</t>
        </is>
      </c>
    </row>
    <row r="4">
      <c r="A4" s="13" t="inlineStr">
        <is>
          <t>SYMPTOMS PUBLISHED (16 - all of them)</t>
        </is>
      </c>
    </row>
    <row r="5">
      <c r="A5" t="inlineStr">
        <is>
          <t>Holes in leaves</t>
        </is>
      </c>
    </row>
    <row r="6">
      <c r="A6" t="inlineStr">
        <is>
          <t>Small insects on leaves</t>
        </is>
      </c>
    </row>
    <row r="7">
      <c r="A7" t="inlineStr">
        <is>
          <t>Caterpillars on leaves</t>
        </is>
      </c>
    </row>
    <row r="8">
      <c r="A8" t="inlineStr">
        <is>
          <t>Sticky residue</t>
        </is>
      </c>
    </row>
    <row r="9">
      <c r="A9" t="inlineStr">
        <is>
          <t>Black sooty mould</t>
        </is>
      </c>
    </row>
    <row r="10">
      <c r="A10" t="inlineStr">
        <is>
          <t>Curled or distorted leaves</t>
        </is>
      </c>
    </row>
    <row r="11">
      <c r="A11" t="inlineStr">
        <is>
          <t>Yellowing leaves</t>
        </is>
      </c>
    </row>
    <row r="12">
      <c r="A12" t="inlineStr">
        <is>
          <t>Mottled leaves</t>
        </is>
      </c>
    </row>
    <row r="13">
      <c r="A13" t="inlineStr">
        <is>
          <t>Silvery patches</t>
        </is>
      </c>
    </row>
    <row r="14">
      <c r="A14" t="inlineStr">
        <is>
          <t>Fine webbing</t>
        </is>
      </c>
    </row>
    <row r="15">
      <c r="A15" t="inlineStr">
        <is>
          <t>Stunted growth</t>
        </is>
      </c>
    </row>
    <row r="16">
      <c r="A16" t="inlineStr">
        <is>
          <t>Wilting</t>
        </is>
      </c>
    </row>
    <row r="17">
      <c r="A17" t="inlineStr">
        <is>
          <t>Tunnelled roots or tubers</t>
        </is>
      </c>
    </row>
    <row r="18">
      <c r="A18" t="inlineStr">
        <is>
          <t>Notched leaf edges</t>
        </is>
      </c>
    </row>
    <row r="19">
      <c r="A19" t="inlineStr">
        <is>
          <t>Slime trails</t>
        </is>
      </c>
    </row>
    <row r="20">
      <c r="A20" t="inlineStr">
        <is>
          <t>Stems cut at soil level</t>
        </is>
      </c>
    </row>
    <row r="22">
      <c r="A22" s="16" t="inlineStr">
        <is>
          <t>NOTHING IS HELD BACK</t>
        </is>
      </c>
    </row>
    <row r="23" ht="30" customHeight="1">
      <c r="B23" s="17" t="inlineStr">
        <is>
          <t>All 16 researched symptoms are published as tick boxes. Every cell on the Pest x Symptom sheet can therefore reach a grower, so no sourced symptom goes unused.</t>
        </is>
      </c>
    </row>
    <row r="25">
      <c r="A25" s="16" t="inlineStr">
        <is>
          <t>CONSEQUENCE - how many pests can reach High</t>
        </is>
      </c>
    </row>
    <row r="26" ht="46" customHeight="1">
      <c r="B26" s="17" t="inlineStr">
        <is>
          <t>High needs 3 or more matching symptoms, so a pest with only 2 known symptoms can never be a High match however good the fit. Six of our 12 pests can: Aphids and Thrips (4 symptoms each), and Mealy Cabbage Aphid, Glasshouse Whitefly, Cabbage Root Fly and Slugs and Snails (3 each).</t>
        </is>
      </c>
    </row>
    <row r="28">
      <c r="A28" s="16" t="inlineStr">
        <is>
          <t>CONSEQUENCE - coverage per crop</t>
        </is>
      </c>
    </row>
    <row r="30">
      <c r="A30" s="16" t="inlineStr">
        <is>
          <t>Tomato</t>
        </is>
      </c>
      <c r="B30" s="17" t="inlineStr">
        <is>
          <t>5 pests. Best covered.</t>
        </is>
      </c>
    </row>
    <row r="31">
      <c r="A31" s="16" t="inlineStr">
        <is>
          <t>Cucumber</t>
        </is>
      </c>
      <c r="B31" s="17" t="inlineStr">
        <is>
          <t>5 pests. Good.</t>
        </is>
      </c>
    </row>
    <row r="32">
      <c r="A32" s="16" t="inlineStr">
        <is>
          <t>Cabbage</t>
        </is>
      </c>
      <c r="B32" s="17" t="inlineStr">
        <is>
          <t>4 pests. Good.</t>
        </is>
      </c>
    </row>
    <row r="33">
      <c r="A33" s="16" t="inlineStr">
        <is>
          <t>Potato</t>
        </is>
      </c>
      <c r="B33" s="17" t="inlineStr">
        <is>
          <t>4 pests. Good.</t>
        </is>
      </c>
    </row>
    <row r="34">
      <c r="A34" s="16" t="inlineStr">
        <is>
          <t>Lettuce</t>
        </is>
      </c>
      <c r="B34" s="17" t="inlineStr">
        <is>
          <t>3 pests. Acceptable.</t>
        </is>
      </c>
    </row>
    <row r="35">
      <c r="A35" s="16" t="inlineStr">
        <is>
          <t>Pepper</t>
        </is>
      </c>
      <c r="B35" s="17" t="inlineStr">
        <is>
          <t>3 pests. Acceptable.</t>
        </is>
      </c>
    </row>
    <row r="36">
      <c r="A36" s="16" t="inlineStr">
        <is>
          <t>Strawberry</t>
        </is>
      </c>
      <c r="B36" s="17" t="inlineStr">
        <is>
          <t>3 pests. Acceptable.</t>
        </is>
      </c>
    </row>
    <row r="37">
      <c r="A37" s="18" t="inlineStr">
        <is>
          <t>Spinach</t>
        </is>
      </c>
      <c r="B37" s="19" t="inlineStr">
        <is>
          <t>1 pest. THE WEAKEST CROP - only Slugs and Snails. This breaks the 'at least two pests per crop' intent stated on the Read me sheet.</t>
        </is>
      </c>
    </row>
    <row r="39" ht="48" customHeight="1">
      <c r="A39" s="16" t="inlineStr">
        <is>
          <t>RECOMMENDATION on Spinach</t>
        </is>
      </c>
      <c r="B39" s="17" t="inlineStr">
        <is>
          <t>Do not add a spinach link we cannot evidence. Olu checked the RHS spinach grow-your-own page on 13 Oct 2026: it names slugs, birds and pigeons but no second insect pest, so there is nothing to add. Spinach having one pest is a real gap in the tool and is recorded on the Read me sheet rather than hidden.</t>
        </is>
      </c>
    </row>
    <row r="41">
      <c r="A41" s="16" t="inlineStr">
        <is>
          <t>WHY ALL 16 ARE PUBLISHED</t>
        </is>
      </c>
    </row>
    <row r="42" ht="62" customHeight="1">
      <c r="B42" s="17" t="inlineStr">
        <is>
          <t>An earlier version used a 10-word list of our own devising. That was wrong twice over. It lost sourced symptoms (Slugs and Snails lost 'Tunnelled roots or tubers', the only symptom tying them to potato), and keeping pest lists long enough to stay useful would have meant SUBSTITUTING unsourced symptoms - 'Yellowing leaves' for Cabbage Root Fly and Red Spider Mite, which no source supports. The rule we now follow: drop a symptom rather than substitute a different one.</t>
        </is>
      </c>
    </row>
    <row r="43" ht="30" customHeight="1">
      <c r="B43" s="17" t="inlineStr">
        <is>
          <t>Note 'Pale tunnels in leaves' is gone from the published list because no leaf miner remains among the 12 pests, so nothing could ever match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8" customWidth="1" min="1" max="1"/>
    <col width="26" customWidth="1" min="2" max="2"/>
    <col width="78" customWidth="1" min="3" max="3"/>
  </cols>
  <sheetData>
    <row r="1">
      <c r="A1" s="11" t="inlineStr">
        <is>
          <t>How the website turns symptoms into a match</t>
        </is>
      </c>
    </row>
    <row r="2">
      <c r="A2" s="12" t="inlineStr">
        <is>
          <t>This sheet fills the gap the other sheets leave: they say WHICH pests attack WHICH crops, not HOW a search becomes a result.</t>
        </is>
      </c>
    </row>
    <row r="4">
      <c r="A4" s="20" t="inlineStr">
        <is>
          <t>Step</t>
        </is>
      </c>
      <c r="B4" s="20" t="inlineStr">
        <is>
          <t>Name</t>
        </is>
      </c>
      <c r="C4" s="20" t="inlineStr">
        <is>
          <t>What actually happens</t>
        </is>
      </c>
    </row>
    <row r="5">
      <c r="A5" s="16" t="inlineStr">
        <is>
          <t>1</t>
        </is>
      </c>
      <c r="B5" s="16" t="inlineStr">
        <is>
          <t>User picks a crop</t>
        </is>
      </c>
      <c r="C5" s="17" t="inlineStr">
        <is>
          <t>One crop is chosen from the Identify page tiles.</t>
        </is>
      </c>
    </row>
    <row r="6">
      <c r="A6" s="16" t="inlineStr">
        <is>
          <t>2</t>
        </is>
      </c>
      <c r="B6" s="16" t="inlineStr">
        <is>
          <t>User ticks symptoms</t>
        </is>
      </c>
      <c r="C6" s="17" t="inlineStr">
        <is>
          <t>One or more of the symptoms in the 'Pest x Symptom' sheet that the site actually offers.</t>
        </is>
      </c>
    </row>
    <row r="7">
      <c r="A7" s="16" t="inlineStr">
        <is>
          <t>3</t>
        </is>
      </c>
      <c r="B7" s="16" t="inlineStr">
        <is>
          <t>RULE 1 - crop must match</t>
        </is>
      </c>
      <c r="C7" s="17" t="inlineStr">
        <is>
          <t>Any pest that does not attack the chosen crop is discarded. Done first, because it is the cheapest test.</t>
        </is>
      </c>
    </row>
    <row r="8">
      <c r="A8" s="16" t="inlineStr">
        <is>
          <t>4</t>
        </is>
      </c>
      <c r="B8" s="16" t="inlineStr">
        <is>
          <t>RULE 2 - count common symptoms</t>
        </is>
      </c>
      <c r="C8" s="17" t="inlineStr">
        <is>
          <t>For each survivor, compare the ticked symptoms against that pest's own list. No overlap at all means discard it too.</t>
        </is>
      </c>
    </row>
    <row r="9">
      <c r="A9" s="16" t="inlineStr">
        <is>
          <t>5</t>
        </is>
      </c>
      <c r="B9" s="16" t="inlineStr">
        <is>
          <t>Work out share</t>
        </is>
      </c>
      <c r="C9" s="17" t="inlineStr">
        <is>
          <t>share = matched symptoms / the pest's OWN total symptom count. So 3 matched out of 5 known = 0.6.</t>
        </is>
      </c>
    </row>
    <row r="10">
      <c r="A10" s="16" t="inlineStr">
        <is>
          <t>6</t>
        </is>
      </c>
      <c r="B10" s="16" t="inlineStr">
        <is>
          <t>RULE 3 - label it</t>
        </is>
      </c>
      <c r="C10" s="17" t="inlineStr">
        <is>
          <t>Two numbers must BOTH pass. See the thresholds below.</t>
        </is>
      </c>
    </row>
    <row r="11">
      <c r="A11" s="16" t="inlineStr">
        <is>
          <t>7</t>
        </is>
      </c>
      <c r="B11" s="16" t="inlineStr">
        <is>
          <t>Build the reason</t>
        </is>
      </c>
      <c r="C11" s="17" t="inlineStr">
        <is>
          <t>A sentence naming the symptoms that matched, so the grower can check our reasoning.</t>
        </is>
      </c>
    </row>
    <row r="12">
      <c r="A12" s="16" t="inlineStr">
        <is>
          <t>8</t>
        </is>
      </c>
      <c r="B12" s="16" t="inlineStr">
        <is>
          <t>Sort</t>
        </is>
      </c>
      <c r="C12" s="17" t="inlineStr">
        <is>
          <t>Most matches first, then biggest share, then name A-Z so repeated searches give an identical order.</t>
        </is>
      </c>
    </row>
    <row r="13">
      <c r="A13" s="16" t="inlineStr">
        <is>
          <t>9</t>
        </is>
      </c>
      <c r="B13" s="16" t="inlineStr">
        <is>
          <t>Show results</t>
        </is>
      </c>
      <c r="C13" s="17" t="inlineStr">
        <is>
          <t>One card per result, each linking to that pest's page.</t>
        </is>
      </c>
    </row>
    <row r="15">
      <c r="B15" s="13" t="inlineStr">
        <is>
          <t>MATCH LEVELS</t>
        </is>
      </c>
    </row>
    <row r="16">
      <c r="A16" s="20" t="inlineStr">
        <is>
          <t>Level</t>
        </is>
      </c>
      <c r="B16" s="20" t="inlineStr">
        <is>
          <t>Needs</t>
        </is>
      </c>
      <c r="C16" s="20" t="inlineStr">
        <is>
          <t>Plain meaning</t>
        </is>
      </c>
    </row>
    <row r="17">
      <c r="A17" s="16" t="inlineStr">
        <is>
          <t>High</t>
        </is>
      </c>
      <c r="B17" t="inlineStr">
        <is>
          <t>3 or more matched AND share 0.6 or more</t>
        </is>
      </c>
      <c r="C17" s="17" t="inlineStr">
        <is>
          <t>Strong evidence.</t>
        </is>
      </c>
    </row>
    <row r="18">
      <c r="A18" s="16" t="inlineStr">
        <is>
          <t>Medium</t>
        </is>
      </c>
      <c r="B18" t="inlineStr">
        <is>
          <t>2 or more matched AND share 0.4 or more</t>
        </is>
      </c>
      <c r="C18" s="17" t="inlineStr">
        <is>
          <t>Plausible.</t>
        </is>
      </c>
    </row>
    <row r="19">
      <c r="A19" s="16" t="inlineStr">
        <is>
          <t>Low</t>
        </is>
      </c>
      <c r="B19" t="inlineStr">
        <is>
          <t>Anything else</t>
        </is>
      </c>
      <c r="C19" s="17" t="inlineStr">
        <is>
          <t>Possible, but check the others too. Not a failure.</t>
        </is>
      </c>
    </row>
    <row r="21">
      <c r="B21" s="13" t="inlineStr">
        <is>
          <t>WHY SHARE EXISTS</t>
        </is>
      </c>
    </row>
    <row r="22">
      <c r="A22" s="16" t="inlineStr">
        <is>
          <t>Problem</t>
        </is>
      </c>
      <c r="C22" s="17" t="inlineStr">
        <is>
          <t>Several of our pests have only 2 known symptoms. A grower who ticks one of them gets a perfect-looking 1-of-1 raw count, and on the raw count alone that pest would beat a well-documented one on very thin evidence.</t>
        </is>
      </c>
    </row>
    <row r="23">
      <c r="A23" s="16" t="inlineStr">
        <is>
          <t>Fix</t>
        </is>
      </c>
      <c r="C23" s="17" t="inlineStr">
        <is>
          <t>Also measure share = matched / the pest's own list length, and require BOTH numbers to pass. One matched symptom can never reach the High minimum of 3, so a thin pest cannot claim to be the answer on a single tick. An automated test pins this so it cannot drift.</t>
        </is>
      </c>
    </row>
    <row r="25">
      <c r="B25" s="13" t="inlineStr">
        <is>
          <t>WORKED EXAMPLE - Cabbage + 3 symptoms</t>
        </is>
      </c>
    </row>
    <row r="26">
      <c r="C26" s="17" t="inlineStr">
        <is>
          <t>Ticked: Wilting, Stunted growth, Tunnelled roots or tubers.</t>
        </is>
      </c>
    </row>
    <row r="27">
      <c r="A27" s="20" t="inlineStr">
        <is>
          <t>Pest</t>
        </is>
      </c>
      <c r="B27" s="20" t="inlineStr">
        <is>
          <t>Result</t>
        </is>
      </c>
      <c r="C27" s="20" t="inlineStr">
        <is>
          <t>Why</t>
        </is>
      </c>
    </row>
    <row r="28">
      <c r="A28" s="16" t="inlineStr">
        <is>
          <t>Cabbage Root Fly</t>
        </is>
      </c>
      <c r="B28" s="16" t="inlineStr">
        <is>
          <t>High</t>
        </is>
      </c>
      <c r="C28" s="17" t="inlineStr">
        <is>
          <t>Attacks cabbage. 3 matched of its own 3 known, share 1.0.</t>
        </is>
      </c>
    </row>
    <row r="29">
      <c r="A29" s="16" t="inlineStr">
        <is>
          <t>Slugs and Snails</t>
        </is>
      </c>
      <c r="B29" s="16" t="inlineStr">
        <is>
          <t>Low</t>
        </is>
      </c>
      <c r="C29" s="17" t="inlineStr">
        <is>
          <t>Attacks cabbage but matches only 1 of 3 known, share 0.33.</t>
        </is>
      </c>
    </row>
    <row r="30">
      <c r="A30" s="16" t="inlineStr">
        <is>
          <t>Aphids</t>
        </is>
      </c>
      <c r="B30" s="16" t="inlineStr">
        <is>
          <t>not shown</t>
        </is>
      </c>
      <c r="C30" s="17" t="inlineStr">
        <is>
          <t>Does not attack cabbage in our data.</t>
        </is>
      </c>
    </row>
    <row r="32">
      <c r="A32" s="16" t="inlineStr">
        <is>
          <t>Worked example - an empty result</t>
        </is>
      </c>
      <c r="C32" s="17" t="inlineStr">
        <is>
          <t>Tomato + 'Holes in leaves' returns nothing at all, and Tomato + (Yellowing leaves, Sticky residue, Small insects on leaves) returns results but NO High match, because Aphids does not have yellowing leaves in our sourced data. That is correct, not a fault: none of our tomato pests cause holes in leaves, so we say nothing rather than offer a poor guess. An empty result is a real answer and is tested.</t>
        </is>
      </c>
    </row>
    <row r="34">
      <c r="B34" s="13" t="inlineStr">
        <is>
          <t>WHY NOT MACHINE LEARNING</t>
        </is>
      </c>
    </row>
    <row r="35" ht="58" customHeight="1">
      <c r="A35" s="17" t="inlineStr">
        <is>
          <t>A trained classifier would return one answer plus a confidence number, and we could not show the grower why. Our rules give a reason for every result, so it can be checked and argued with. For a tool that might steer someone towards treating a crop, being able to challenge the answer matters more than being right more often. It also makes results repeatable and testable, which is what the automated checks rely 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2" t="inlineStr">
        <is>
          <t>Green = pest attacks this crop; number = supporting reference. Blank = not verified.</t>
        </is>
      </c>
    </row>
    <row r="3" ht="60" customHeight="1">
      <c r="A3" s="5" t="inlineStr">
        <is>
          <t>Pest</t>
        </is>
      </c>
      <c r="B3" s="5" t="inlineStr">
        <is>
          <t>Tomato</t>
        </is>
      </c>
      <c r="C3" s="5" t="inlineStr">
        <is>
          <t>Cabbage</t>
        </is>
      </c>
      <c r="D3" s="5" t="inlineStr">
        <is>
          <t>Potato</t>
        </is>
      </c>
      <c r="E3" s="5" t="inlineStr">
        <is>
          <t>Lettuce</t>
        </is>
      </c>
      <c r="F3" s="5" t="inlineStr">
        <is>
          <t>Pepper</t>
        </is>
      </c>
      <c r="G3" s="5" t="inlineStr">
        <is>
          <t>Cucumber</t>
        </is>
      </c>
      <c r="H3" s="5" t="inlineStr">
        <is>
          <t>Strawberry</t>
        </is>
      </c>
      <c r="I3" s="5" t="inlineStr">
        <is>
          <t>Spinach</t>
        </is>
      </c>
      <c r="J3" s="5" t="inlineStr">
        <is>
          <t>Count</t>
        </is>
      </c>
    </row>
    <row r="4">
      <c r="A4" s="6" t="inlineStr">
        <is>
          <t>Aphids
(Aphidoidea)</t>
        </is>
      </c>
      <c r="B4" s="7" t="inlineStr">
        <is>
          <t>1</t>
        </is>
      </c>
      <c r="C4" s="8" t="n"/>
      <c r="D4" s="8" t="n"/>
      <c r="E4" s="7" t="inlineStr">
        <is>
          <t>16</t>
        </is>
      </c>
      <c r="F4" s="7" t="inlineStr">
        <is>
          <t>17</t>
        </is>
      </c>
      <c r="G4" s="7" t="inlineStr">
        <is>
          <t>1</t>
        </is>
      </c>
      <c r="H4" s="7" t="inlineStr">
        <is>
          <t>19, 12</t>
        </is>
      </c>
      <c r="I4" s="8" t="n"/>
      <c r="J4" s="8">
        <f>COUNTA(B4:I4)</f>
        <v/>
      </c>
    </row>
    <row r="5">
      <c r="A5" s="6" t="inlineStr">
        <is>
          <t>Mealy Cabbage Aphid
(Brevicoryne brassicae)</t>
        </is>
      </c>
      <c r="B5" s="8" t="n"/>
      <c r="C5" s="7" t="inlineStr">
        <is>
          <t>2, 14</t>
        </is>
      </c>
      <c r="D5" s="8" t="n"/>
      <c r="E5" s="8" t="n"/>
      <c r="F5" s="8" t="n"/>
      <c r="G5" s="8" t="n"/>
      <c r="H5" s="8" t="n"/>
      <c r="I5" s="8" t="n"/>
      <c r="J5" s="8">
        <f>COUNTA(B5:I5)</f>
        <v/>
      </c>
    </row>
    <row r="6">
      <c r="A6" s="6" t="inlineStr">
        <is>
          <t>Glasshouse Whitefly
(Trialeurodes vaporariorum)</t>
        </is>
      </c>
      <c r="B6" s="7" t="inlineStr">
        <is>
          <t>3, 13</t>
        </is>
      </c>
      <c r="C6" s="8" t="n"/>
      <c r="D6" s="8" t="n"/>
      <c r="E6" s="8" t="n"/>
      <c r="F6" s="7" t="inlineStr">
        <is>
          <t>3, 17</t>
        </is>
      </c>
      <c r="G6" s="7" t="inlineStr">
        <is>
          <t>3, 18</t>
        </is>
      </c>
      <c r="H6" s="8" t="n"/>
      <c r="I6" s="8" t="n"/>
      <c r="J6" s="8">
        <f>COUNTA(B6:I6)</f>
        <v/>
      </c>
    </row>
    <row r="7">
      <c r="A7" s="6" t="inlineStr">
        <is>
          <t>Cabbage Caterpillars
(Pieris brassicae, P. rapae, P. napi, Mamestra brassicae, Plutella xylostella)</t>
        </is>
      </c>
      <c r="B7" s="8" t="n"/>
      <c r="C7" s="7" t="inlineStr">
        <is>
          <t>4, 14</t>
        </is>
      </c>
      <c r="D7" s="8" t="n"/>
      <c r="E7" s="8" t="n"/>
      <c r="F7" s="8" t="n"/>
      <c r="G7" s="8" t="n"/>
      <c r="H7" s="8" t="n"/>
      <c r="I7" s="8" t="n"/>
      <c r="J7" s="8">
        <f>COUNTA(B7:I7)</f>
        <v/>
      </c>
    </row>
    <row r="8">
      <c r="A8" s="6" t="inlineStr">
        <is>
          <t>Cabbage Root Fly
(Delia radicum)</t>
        </is>
      </c>
      <c r="B8" s="8" t="n"/>
      <c r="C8" s="7" t="inlineStr">
        <is>
          <t>5, 14</t>
        </is>
      </c>
      <c r="D8" s="8" t="n"/>
      <c r="E8" s="8" t="n"/>
      <c r="F8" s="8" t="n"/>
      <c r="G8" s="8" t="n"/>
      <c r="H8" s="8" t="n"/>
      <c r="I8" s="8" t="n"/>
      <c r="J8" s="8">
        <f>COUNTA(B8:I8)</f>
        <v/>
      </c>
    </row>
    <row r="9">
      <c r="A9" s="6" t="inlineStr">
        <is>
          <t>Red Spider Mite
(Tetranychus urticae)</t>
        </is>
      </c>
      <c r="B9" s="7" t="inlineStr">
        <is>
          <t>6</t>
        </is>
      </c>
      <c r="C9" s="8" t="n"/>
      <c r="D9" s="8" t="n"/>
      <c r="E9" s="8" t="n"/>
      <c r="F9" s="7" t="inlineStr">
        <is>
          <t>6, 17</t>
        </is>
      </c>
      <c r="G9" s="7" t="inlineStr">
        <is>
          <t>6, 18</t>
        </is>
      </c>
      <c r="H9" s="8" t="n"/>
      <c r="I9" s="8" t="n"/>
      <c r="J9" s="8">
        <f>COUNTA(B9:I9)</f>
        <v/>
      </c>
    </row>
    <row r="10">
      <c r="A10" s="6" t="inlineStr">
        <is>
          <t>Thrips
(Order Thysanoptera)</t>
        </is>
      </c>
      <c r="B10" s="7" t="inlineStr">
        <is>
          <t>7</t>
        </is>
      </c>
      <c r="C10" s="8" t="n"/>
      <c r="D10" s="8" t="n"/>
      <c r="E10" s="8" t="n"/>
      <c r="F10" s="8" t="n"/>
      <c r="G10" s="7" t="inlineStr">
        <is>
          <t>7</t>
        </is>
      </c>
      <c r="H10" s="8" t="n"/>
      <c r="I10" s="8" t="n"/>
      <c r="J10" s="8">
        <f>COUNTA(B10:I10)</f>
        <v/>
      </c>
    </row>
    <row r="11">
      <c r="A11" s="6" t="inlineStr">
        <is>
          <t>Slugs and Snails
(Arion, Cornu, Deroceras, Limacus)</t>
        </is>
      </c>
      <c r="B11" s="8" t="n"/>
      <c r="C11" s="7" t="inlineStr">
        <is>
          <t>14</t>
        </is>
      </c>
      <c r="D11" s="7" t="inlineStr">
        <is>
          <t>8, 15</t>
        </is>
      </c>
      <c r="E11" s="7" t="inlineStr">
        <is>
          <t>8, 16</t>
        </is>
      </c>
      <c r="F11" s="8" t="n"/>
      <c r="G11" s="7" t="inlineStr">
        <is>
          <t>18</t>
        </is>
      </c>
      <c r="H11" s="7" t="inlineStr">
        <is>
          <t>19</t>
        </is>
      </c>
      <c r="I11" s="7" t="inlineStr">
        <is>
          <t>20</t>
        </is>
      </c>
      <c r="J11" s="8">
        <f>COUNTA(B11:I11)</f>
        <v/>
      </c>
    </row>
    <row r="12">
      <c r="A12" s="6" t="inlineStr">
        <is>
          <t>Wireworms
(Genus Agriotes)</t>
        </is>
      </c>
      <c r="B12" s="8" t="n"/>
      <c r="C12" s="8" t="n"/>
      <c r="D12" s="7" t="inlineStr">
        <is>
          <t>9, 15</t>
        </is>
      </c>
      <c r="E12" s="8" t="n"/>
      <c r="F12" s="8" t="n"/>
      <c r="G12" s="8" t="n"/>
      <c r="H12" s="8" t="n"/>
      <c r="I12" s="8" t="n"/>
      <c r="J12" s="8">
        <f>COUNTA(B12:I12)</f>
        <v/>
      </c>
    </row>
    <row r="13">
      <c r="A13" s="6" t="inlineStr">
        <is>
          <t>Potato Cyst Nematodes
(Globodera rostochiensis and G. pallida)</t>
        </is>
      </c>
      <c r="B13" s="7" t="inlineStr">
        <is>
          <t>10</t>
        </is>
      </c>
      <c r="C13" s="8" t="n"/>
      <c r="D13" s="7" t="inlineStr">
        <is>
          <t>10, 15</t>
        </is>
      </c>
      <c r="E13" s="8" t="n"/>
      <c r="F13" s="8" t="n"/>
      <c r="G13" s="8" t="n"/>
      <c r="H13" s="8" t="n"/>
      <c r="I13" s="8" t="n"/>
      <c r="J13" s="8">
        <f>COUNTA(B13:I13)</f>
        <v/>
      </c>
    </row>
    <row r="14">
      <c r="A14" s="6" t="inlineStr">
        <is>
          <t>Vine Weevil
(Otiorhynchus sulcatus)</t>
        </is>
      </c>
      <c r="B14" s="8" t="n"/>
      <c r="C14" s="8" t="n"/>
      <c r="D14" s="8" t="n"/>
      <c r="E14" s="8" t="n"/>
      <c r="F14" s="8" t="n"/>
      <c r="G14" s="8" t="n"/>
      <c r="H14" s="7" t="inlineStr">
        <is>
          <t>11, 19</t>
        </is>
      </c>
      <c r="I14" s="8" t="n"/>
      <c r="J14" s="8">
        <f>COUNTA(B14:I14)</f>
        <v/>
      </c>
    </row>
    <row r="15">
      <c r="A15" s="6" t="inlineStr">
        <is>
          <t>Cutworms
(Agrotis segetum)</t>
        </is>
      </c>
      <c r="B15" s="8" t="n"/>
      <c r="C15" s="8" t="n"/>
      <c r="D15" s="7" t="inlineStr">
        <is>
          <t>21, 15</t>
        </is>
      </c>
      <c r="E15" s="7" t="inlineStr">
        <is>
          <t>21, 16</t>
        </is>
      </c>
      <c r="F15" s="8" t="n"/>
      <c r="G15" s="8" t="n"/>
      <c r="H15" s="8" t="n"/>
      <c r="I15" s="8" t="n"/>
      <c r="J15" s="8">
        <f>COUNTA(B15:I15)</f>
        <v/>
      </c>
    </row>
    <row r="16">
      <c r="A16" s="6" t="inlineStr">
        <is>
          <t>Count</t>
        </is>
      </c>
      <c r="B16" s="9">
        <f>COUNTA(B4:B15)</f>
        <v/>
      </c>
      <c r="C16" s="9">
        <f>COUNTA(C4:C15)</f>
        <v/>
      </c>
      <c r="D16" s="9">
        <f>COUNTA(D4:D15)</f>
        <v/>
      </c>
      <c r="E16" s="9">
        <f>COUNTA(E4:E15)</f>
        <v/>
      </c>
      <c r="F16" s="9">
        <f>COUNTA(F4:F15)</f>
        <v/>
      </c>
      <c r="G16" s="9">
        <f>COUNTA(G4:G15)</f>
        <v/>
      </c>
      <c r="H16" s="9">
        <f>COUNTA(H4:H15)</f>
        <v/>
      </c>
      <c r="I16" s="9">
        <f>COUNTA(I4:I15)</f>
        <v/>
      </c>
      <c r="J16" s="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2" t="inlineStr">
        <is>
          <t>Green = pest causes this symptom; number = supporting reference. Blank = not verified.</t>
        </is>
      </c>
    </row>
    <row r="3" ht="60" customHeight="1">
      <c r="A3" s="5" t="inlineStr">
        <is>
          <t>Pest</t>
        </is>
      </c>
      <c r="B3" s="5" t="inlineStr">
        <is>
          <t>Holes in leaves</t>
        </is>
      </c>
      <c r="C3" s="5" t="inlineStr">
        <is>
          <t>Small insects on leaves</t>
        </is>
      </c>
      <c r="D3" s="5" t="inlineStr">
        <is>
          <t>Caterpillars on leaves</t>
        </is>
      </c>
      <c r="E3" s="5" t="inlineStr">
        <is>
          <t>Sticky residue</t>
        </is>
      </c>
      <c r="F3" s="5" t="inlineStr">
        <is>
          <t>Black sooty mould</t>
        </is>
      </c>
      <c r="G3" s="5" t="inlineStr">
        <is>
          <t>Curled or distorted leaves</t>
        </is>
      </c>
      <c r="H3" s="5" t="inlineStr">
        <is>
          <t>Yellowing leaves</t>
        </is>
      </c>
      <c r="I3" s="5" t="inlineStr">
        <is>
          <t>Mottled leaves</t>
        </is>
      </c>
      <c r="J3" s="5" t="inlineStr">
        <is>
          <t>Silvery patches</t>
        </is>
      </c>
      <c r="K3" s="5" t="inlineStr">
        <is>
          <t>Fine webbing</t>
        </is>
      </c>
      <c r="L3" s="5" t="inlineStr">
        <is>
          <t>Stunted growth</t>
        </is>
      </c>
      <c r="M3" s="5" t="inlineStr">
        <is>
          <t>Wilting</t>
        </is>
      </c>
      <c r="N3" s="5" t="inlineStr">
        <is>
          <t>Tunnelled roots or tubers</t>
        </is>
      </c>
      <c r="O3" s="5" t="inlineStr">
        <is>
          <t>Notched leaf edges</t>
        </is>
      </c>
      <c r="P3" s="5" t="inlineStr">
        <is>
          <t>Slime trails</t>
        </is>
      </c>
      <c r="Q3" s="5" t="inlineStr">
        <is>
          <t>Stems cut at soil level</t>
        </is>
      </c>
      <c r="R3" s="5" t="inlineStr">
        <is>
          <t>Count</t>
        </is>
      </c>
    </row>
    <row r="4">
      <c r="A4" s="6" t="inlineStr">
        <is>
          <t>Aphids
(Aphidoidea)</t>
        </is>
      </c>
      <c r="B4" s="8" t="n"/>
      <c r="C4" s="7" t="inlineStr">
        <is>
          <t>1</t>
        </is>
      </c>
      <c r="D4" s="8" t="n"/>
      <c r="E4" s="7" t="inlineStr">
        <is>
          <t>1</t>
        </is>
      </c>
      <c r="F4" s="8" t="n"/>
      <c r="G4" s="7" t="inlineStr">
        <is>
          <t>1</t>
        </is>
      </c>
      <c r="H4" s="8" t="n"/>
      <c r="I4" s="8" t="n"/>
      <c r="J4" s="8" t="n"/>
      <c r="K4" s="8" t="n"/>
      <c r="L4" s="7" t="inlineStr">
        <is>
          <t>1</t>
        </is>
      </c>
      <c r="M4" s="8" t="n"/>
      <c r="N4" s="8" t="n"/>
      <c r="O4" s="8" t="n"/>
      <c r="P4" s="8" t="n"/>
      <c r="Q4" s="8" t="n"/>
      <c r="R4" s="8">
        <f>COUNTA(B4:Q4)</f>
        <v/>
      </c>
    </row>
    <row r="5">
      <c r="A5" s="6" t="inlineStr">
        <is>
          <t>Mealy Cabbage Aphid
(Brevicoryne brassicae)</t>
        </is>
      </c>
      <c r="B5" s="8" t="n"/>
      <c r="C5" s="7" t="inlineStr">
        <is>
          <t>2</t>
        </is>
      </c>
      <c r="D5" s="8" t="n"/>
      <c r="E5" s="8" t="n"/>
      <c r="F5" s="8" t="n"/>
      <c r="G5" s="7" t="inlineStr">
        <is>
          <t>2</t>
        </is>
      </c>
      <c r="H5" s="7" t="inlineStr">
        <is>
          <t>2</t>
        </is>
      </c>
      <c r="I5" s="8" t="n"/>
      <c r="J5" s="8" t="n"/>
      <c r="K5" s="8" t="n"/>
      <c r="L5" s="8" t="n"/>
      <c r="M5" s="8" t="n"/>
      <c r="N5" s="8" t="n"/>
      <c r="O5" s="8" t="n"/>
      <c r="P5" s="8" t="n"/>
      <c r="Q5" s="8" t="n"/>
      <c r="R5" s="8">
        <f>COUNTA(B5:Q5)</f>
        <v/>
      </c>
    </row>
    <row r="6">
      <c r="A6" s="6" t="inlineStr">
        <is>
          <t>Glasshouse Whitefly
(Trialeurodes vaporariorum)</t>
        </is>
      </c>
      <c r="B6" s="8" t="n"/>
      <c r="C6" s="7" t="inlineStr">
        <is>
          <t>3</t>
        </is>
      </c>
      <c r="D6" s="8" t="n"/>
      <c r="E6" s="7" t="inlineStr">
        <is>
          <t>3</t>
        </is>
      </c>
      <c r="F6" s="7" t="inlineStr">
        <is>
          <t>3</t>
        </is>
      </c>
      <c r="G6" s="8" t="n"/>
      <c r="H6" s="8" t="n"/>
      <c r="I6" s="8" t="n"/>
      <c r="J6" s="8" t="n"/>
      <c r="K6" s="8" t="n"/>
      <c r="L6" s="8" t="n"/>
      <c r="M6" s="8" t="n"/>
      <c r="N6" s="8" t="n"/>
      <c r="O6" s="8" t="n"/>
      <c r="P6" s="8" t="n"/>
      <c r="Q6" s="8" t="n"/>
      <c r="R6" s="8">
        <f>COUNTA(B6:Q6)</f>
        <v/>
      </c>
    </row>
    <row r="7">
      <c r="A7" s="6" t="inlineStr">
        <is>
          <t>Cabbage Caterpillars
(Pieris brassicae, P. rapae, P. napi, Mamestra brassicae, Plutella xylostella)</t>
        </is>
      </c>
      <c r="B7" s="7" t="inlineStr">
        <is>
          <t>4</t>
        </is>
      </c>
      <c r="C7" s="8" t="n"/>
      <c r="D7" s="7" t="inlineStr">
        <is>
          <t>4</t>
        </is>
      </c>
      <c r="E7" s="8" t="n"/>
      <c r="F7" s="8" t="n"/>
      <c r="G7" s="8" t="n"/>
      <c r="H7" s="8" t="n"/>
      <c r="I7" s="8" t="n"/>
      <c r="J7" s="8" t="n"/>
      <c r="K7" s="8" t="n"/>
      <c r="L7" s="8" t="n"/>
      <c r="M7" s="8" t="n"/>
      <c r="N7" s="8" t="n"/>
      <c r="O7" s="8" t="n"/>
      <c r="P7" s="8" t="n"/>
      <c r="Q7" s="8" t="n"/>
      <c r="R7" s="8">
        <f>COUNTA(B7:Q7)</f>
        <v/>
      </c>
    </row>
    <row r="8">
      <c r="A8" s="6" t="inlineStr">
        <is>
          <t>Cabbage Root Fly
(Delia radicum)</t>
        </is>
      </c>
      <c r="B8" s="8" t="n"/>
      <c r="C8" s="8" t="n"/>
      <c r="D8" s="8" t="n"/>
      <c r="E8" s="8" t="n"/>
      <c r="F8" s="8" t="n"/>
      <c r="G8" s="8" t="n"/>
      <c r="H8" s="8" t="n"/>
      <c r="I8" s="8" t="n"/>
      <c r="J8" s="8" t="n"/>
      <c r="K8" s="8" t="n"/>
      <c r="L8" s="7" t="inlineStr">
        <is>
          <t>5</t>
        </is>
      </c>
      <c r="M8" s="7" t="inlineStr">
        <is>
          <t>5</t>
        </is>
      </c>
      <c r="N8" s="7" t="inlineStr">
        <is>
          <t>5</t>
        </is>
      </c>
      <c r="O8" s="8" t="n"/>
      <c r="P8" s="8" t="n"/>
      <c r="Q8" s="8" t="n"/>
      <c r="R8" s="8">
        <f>COUNTA(B8:Q8)</f>
        <v/>
      </c>
    </row>
    <row r="9">
      <c r="A9" s="6" t="inlineStr">
        <is>
          <t>Red Spider Mite
(Tetranychus urticae)</t>
        </is>
      </c>
      <c r="B9" s="8" t="n"/>
      <c r="C9" s="8" t="n"/>
      <c r="D9" s="8" t="n"/>
      <c r="E9" s="8" t="n"/>
      <c r="F9" s="8" t="n"/>
      <c r="G9" s="8" t="n"/>
      <c r="H9" s="8" t="n"/>
      <c r="I9" s="7" t="inlineStr">
        <is>
          <t>6</t>
        </is>
      </c>
      <c r="J9" s="8" t="n"/>
      <c r="K9" s="7" t="inlineStr">
        <is>
          <t>6</t>
        </is>
      </c>
      <c r="L9" s="8" t="n"/>
      <c r="M9" s="8" t="n"/>
      <c r="N9" s="8" t="n"/>
      <c r="O9" s="8" t="n"/>
      <c r="P9" s="8" t="n"/>
      <c r="Q9" s="8" t="n"/>
      <c r="R9" s="8">
        <f>COUNTA(B9:Q9)</f>
        <v/>
      </c>
    </row>
    <row r="10">
      <c r="A10" s="6" t="inlineStr">
        <is>
          <t>Thrips
(Order Thysanoptera)</t>
        </is>
      </c>
      <c r="B10" s="8" t="n"/>
      <c r="C10" s="8" t="n"/>
      <c r="D10" s="8" t="n"/>
      <c r="E10" s="8" t="n"/>
      <c r="F10" s="8" t="n"/>
      <c r="G10" s="7" t="inlineStr">
        <is>
          <t>7</t>
        </is>
      </c>
      <c r="H10" s="8" t="n"/>
      <c r="I10" s="7" t="inlineStr">
        <is>
          <t>7</t>
        </is>
      </c>
      <c r="J10" s="7" t="inlineStr">
        <is>
          <t>7</t>
        </is>
      </c>
      <c r="K10" s="8" t="n"/>
      <c r="L10" s="7" t="inlineStr">
        <is>
          <t>7</t>
        </is>
      </c>
      <c r="M10" s="8" t="n"/>
      <c r="N10" s="8" t="n"/>
      <c r="O10" s="8" t="n"/>
      <c r="P10" s="8" t="n"/>
      <c r="Q10" s="8" t="n"/>
      <c r="R10" s="8">
        <f>COUNTA(B10:Q10)</f>
        <v/>
      </c>
    </row>
    <row r="11">
      <c r="A11" s="6" t="inlineStr">
        <is>
          <t>Slugs and Snails
(Arion, Cornu, Deroceras, Limacus)</t>
        </is>
      </c>
      <c r="B11" s="7" t="inlineStr">
        <is>
          <t>8</t>
        </is>
      </c>
      <c r="C11" s="8" t="n"/>
      <c r="D11" s="8" t="n"/>
      <c r="E11" s="8" t="n"/>
      <c r="F11" s="8" t="n"/>
      <c r="G11" s="8" t="n"/>
      <c r="H11" s="8" t="n"/>
      <c r="I11" s="8" t="n"/>
      <c r="J11" s="8" t="n"/>
      <c r="K11" s="8" t="n"/>
      <c r="L11" s="8" t="n"/>
      <c r="M11" s="8" t="n"/>
      <c r="N11" s="7" t="inlineStr">
        <is>
          <t>8</t>
        </is>
      </c>
      <c r="O11" s="8" t="n"/>
      <c r="P11" s="7" t="inlineStr">
        <is>
          <t>8</t>
        </is>
      </c>
      <c r="Q11" s="8" t="n"/>
      <c r="R11" s="8">
        <f>COUNTA(B11:Q11)</f>
        <v/>
      </c>
    </row>
    <row r="12">
      <c r="A12" s="6" t="inlineStr">
        <is>
          <t>Wireworms
(Genus Agriotes)</t>
        </is>
      </c>
      <c r="B12" s="8" t="n"/>
      <c r="C12" s="8" t="n"/>
      <c r="D12" s="8" t="n"/>
      <c r="E12" s="8" t="n"/>
      <c r="F12" s="8" t="n"/>
      <c r="G12" s="8" t="n"/>
      <c r="H12" s="8" t="n"/>
      <c r="I12" s="8" t="n"/>
      <c r="J12" s="8" t="n"/>
      <c r="K12" s="8" t="n"/>
      <c r="L12" s="8" t="n"/>
      <c r="M12" s="8" t="n"/>
      <c r="N12" s="7" t="inlineStr">
        <is>
          <t>9</t>
        </is>
      </c>
      <c r="O12" s="8" t="n"/>
      <c r="P12" s="8" t="n"/>
      <c r="Q12" s="8" t="n"/>
      <c r="R12" s="8">
        <f>COUNTA(B12:Q12)</f>
        <v/>
      </c>
    </row>
    <row r="13">
      <c r="A13" s="6" t="inlineStr">
        <is>
          <t>Potato Cyst Nematodes
(Globodera rostochiensis and G. pallida)</t>
        </is>
      </c>
      <c r="B13" s="8" t="n"/>
      <c r="C13" s="8" t="n"/>
      <c r="D13" s="8" t="n"/>
      <c r="E13" s="8" t="n"/>
      <c r="F13" s="8" t="n"/>
      <c r="G13" s="8" t="n"/>
      <c r="H13" s="7" t="inlineStr">
        <is>
          <t>10</t>
        </is>
      </c>
      <c r="I13" s="8" t="n"/>
      <c r="J13" s="8" t="n"/>
      <c r="K13" s="8" t="n"/>
      <c r="L13" s="8" t="n"/>
      <c r="M13" s="7" t="inlineStr">
        <is>
          <t>10</t>
        </is>
      </c>
      <c r="N13" s="8" t="n"/>
      <c r="O13" s="8" t="n"/>
      <c r="P13" s="8" t="n"/>
      <c r="Q13" s="8" t="n"/>
      <c r="R13" s="8">
        <f>COUNTA(B13:Q13)</f>
        <v/>
      </c>
    </row>
    <row r="14">
      <c r="A14" s="6" t="inlineStr">
        <is>
          <t>Vine Weevil
(Otiorhynchus sulcatus)</t>
        </is>
      </c>
      <c r="B14" s="8" t="n"/>
      <c r="C14" s="8" t="n"/>
      <c r="D14" s="8" t="n"/>
      <c r="E14" s="8" t="n"/>
      <c r="F14" s="8" t="n"/>
      <c r="G14" s="8" t="n"/>
      <c r="H14" s="8" t="n"/>
      <c r="I14" s="8" t="n"/>
      <c r="J14" s="8" t="n"/>
      <c r="K14" s="8" t="n"/>
      <c r="L14" s="8" t="n"/>
      <c r="M14" s="7" t="inlineStr">
        <is>
          <t>11</t>
        </is>
      </c>
      <c r="N14" s="8" t="n"/>
      <c r="O14" s="7" t="inlineStr">
        <is>
          <t>11</t>
        </is>
      </c>
      <c r="P14" s="8" t="n"/>
      <c r="Q14" s="8" t="n"/>
      <c r="R14" s="8">
        <f>COUNTA(B14:Q14)</f>
        <v/>
      </c>
    </row>
    <row r="15">
      <c r="A15" s="6" t="inlineStr">
        <is>
          <t>Cutworms
(Agrotis segetum)</t>
        </is>
      </c>
      <c r="B15" s="8" t="n"/>
      <c r="C15" s="8" t="n"/>
      <c r="D15" s="8" t="n"/>
      <c r="E15" s="8" t="n"/>
      <c r="F15" s="8" t="n"/>
      <c r="G15" s="8" t="n"/>
      <c r="H15" s="8" t="n"/>
      <c r="I15" s="8" t="n"/>
      <c r="J15" s="8" t="n"/>
      <c r="K15" s="8" t="n"/>
      <c r="L15" s="8" t="n"/>
      <c r="M15" s="7" t="inlineStr">
        <is>
          <t>21</t>
        </is>
      </c>
      <c r="N15" s="8" t="n"/>
      <c r="O15" s="8" t="n"/>
      <c r="P15" s="8" t="n"/>
      <c r="Q15" s="7" t="inlineStr">
        <is>
          <t>21</t>
        </is>
      </c>
      <c r="R15" s="8">
        <f>COUNTA(B15:Q15)</f>
        <v/>
      </c>
    </row>
    <row r="16">
      <c r="A16" s="6" t="inlineStr">
        <is>
          <t>Count</t>
        </is>
      </c>
      <c r="B16" s="9">
        <f>COUNTA(B4:B15)</f>
        <v/>
      </c>
      <c r="C16" s="9">
        <f>COUNTA(C4:C15)</f>
        <v/>
      </c>
      <c r="D16" s="9">
        <f>COUNTA(D4:D15)</f>
        <v/>
      </c>
      <c r="E16" s="9">
        <f>COUNTA(E4:E15)</f>
        <v/>
      </c>
      <c r="F16" s="9">
        <f>COUNTA(F4:F15)</f>
        <v/>
      </c>
      <c r="G16" s="9">
        <f>COUNTA(G4:G15)</f>
        <v/>
      </c>
      <c r="H16" s="9">
        <f>COUNTA(H4:H15)</f>
        <v/>
      </c>
      <c r="I16" s="9">
        <f>COUNTA(I4:I15)</f>
        <v/>
      </c>
      <c r="J16" s="9">
        <f>COUNTA(J4:J15)</f>
        <v/>
      </c>
      <c r="K16" s="9">
        <f>COUNTA(K4:K15)</f>
        <v/>
      </c>
      <c r="L16" s="9">
        <f>COUNTA(L4:L15)</f>
        <v/>
      </c>
      <c r="M16" s="9">
        <f>COUNTA(M4:M15)</f>
        <v/>
      </c>
      <c r="N16" s="9">
        <f>COUNTA(N4:N15)</f>
        <v/>
      </c>
      <c r="O16" s="9">
        <f>COUNTA(O4:O15)</f>
        <v/>
      </c>
      <c r="P16" s="9">
        <f>COUNTA(P4:P15)</f>
        <v/>
      </c>
      <c r="Q16" s="9">
        <f>COUNTA(Q4:Q15)</f>
        <v/>
      </c>
      <c r="R16" s="9"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24" customWidth="1" min="1" max="1"/>
    <col width="40" customWidth="1" min="2" max="2"/>
    <col width="12" customWidth="1" min="3" max="3"/>
    <col width="14" customWidth="1" min="4" max="4"/>
    <col width="44" customWidth="1" min="5" max="5"/>
    <col width="60" customWidth="1" min="6" max="6"/>
    <col width="12" customWidth="1" min="7" max="7"/>
    <col width="22" customWidth="1" min="8" max="8"/>
    <col width="14" customWidth="1" min="9" max="9"/>
    <col width="62" customWidth="1" min="10" max="10"/>
  </cols>
  <sheetData>
    <row r="1">
      <c r="A1" s="5" t="inlineStr">
        <is>
          <t>Pest</t>
        </is>
      </c>
      <c r="B1" s="5" t="inlineStr">
        <is>
          <t>Scientific name</t>
        </is>
      </c>
      <c r="C1" s="5" t="inlineStr">
        <is>
          <t>Scientific name ref</t>
        </is>
      </c>
      <c r="D1" s="5" t="inlineStr">
        <is>
          <t>Type</t>
        </is>
      </c>
      <c r="E1" s="5" t="inlineStr">
        <is>
          <t>Crops it attacks</t>
        </is>
      </c>
      <c r="F1" s="5" t="inlineStr">
        <is>
          <t>Symptoms a grower sees</t>
        </is>
      </c>
      <c r="G1" s="5" t="inlineStr">
        <is>
          <t>Number of symptoms</t>
        </is>
      </c>
      <c r="H1" s="5" t="inlineStr">
        <is>
          <t>Can reach High match?</t>
        </is>
      </c>
      <c r="I1" s="5" t="inlineStr">
        <is>
          <t>References</t>
        </is>
      </c>
      <c r="J1" s="21" t="inlineStr">
        <is>
          <t>Look-alike note (not a symptom)</t>
        </is>
      </c>
    </row>
    <row r="2">
      <c r="A2" s="10" t="inlineStr">
        <is>
          <t>Aphids</t>
        </is>
      </c>
      <c r="B2" s="10" t="inlineStr">
        <is>
          <t>Aphidoidea (superfamily of true bugs, Hemiptera)</t>
        </is>
      </c>
      <c r="C2" s="8" t="inlineStr">
        <is>
          <t>1</t>
        </is>
      </c>
      <c r="D2" s="10" t="inlineStr">
        <is>
          <t>Insect</t>
        </is>
      </c>
      <c r="E2" s="10" t="inlineStr">
        <is>
          <t>Tomato, Cucumber, Pepper, Lettuce, Strawberry</t>
        </is>
      </c>
      <c r="F2" s="10" t="inlineStr">
        <is>
          <t>Small insects on leaves, Sticky residue, Curled or distorted leaves, Stunted growth</t>
        </is>
      </c>
      <c r="G2" s="8">
        <f>COUNTA('Pest x Symptom'!B4:Q4)</f>
        <v/>
      </c>
      <c r="H2" s="8">
        <f>IF(G2&gt;=3,"Yes","No (needs 3+ symptoms)")</f>
        <v/>
      </c>
      <c r="I2" s="10" t="inlineStr">
        <is>
          <t>1, 12, 16, 17, 19</t>
        </is>
      </c>
    </row>
    <row r="3">
      <c r="A3" s="10" t="inlineStr">
        <is>
          <t>Mealy Cabbage Aphid</t>
        </is>
      </c>
      <c r="B3" s="10" t="inlineStr">
        <is>
          <t>Brevicoryne brassicae</t>
        </is>
      </c>
      <c r="C3" s="8" t="inlineStr">
        <is>
          <t>2</t>
        </is>
      </c>
      <c r="D3" s="10" t="inlineStr">
        <is>
          <t>Insect</t>
        </is>
      </c>
      <c r="E3" s="10" t="inlineStr">
        <is>
          <t>Cabbage</t>
        </is>
      </c>
      <c r="F3" s="10" t="inlineStr">
        <is>
          <t>Small insects on leaves, Yellowing leaves, Curled or distorted leaves</t>
        </is>
      </c>
      <c r="G3" s="8">
        <f>COUNTA('Pest x Symptom'!B5:Q5)</f>
        <v/>
      </c>
      <c r="H3" s="8">
        <f>IF(G3&gt;=3,"Yes","No (needs 3+ symptoms)")</f>
        <v/>
      </c>
      <c r="I3" s="10" t="inlineStr">
        <is>
          <t>2, 14</t>
        </is>
      </c>
    </row>
    <row r="4">
      <c r="A4" s="10" t="inlineStr">
        <is>
          <t>Glasshouse Whitefly</t>
        </is>
      </c>
      <c r="B4" s="10" t="inlineStr">
        <is>
          <t>Trialeurodes vaporariorum</t>
        </is>
      </c>
      <c r="C4" s="8" t="inlineStr">
        <is>
          <t>3</t>
        </is>
      </c>
      <c r="D4" s="10" t="inlineStr">
        <is>
          <t>Insect</t>
        </is>
      </c>
      <c r="E4" s="10" t="inlineStr">
        <is>
          <t>Tomato, Cucumber, Pepper</t>
        </is>
      </c>
      <c r="F4" s="10" t="inlineStr">
        <is>
          <t>Small insects on leaves, Sticky residue, Black sooty mould</t>
        </is>
      </c>
      <c r="G4" s="8">
        <f>COUNTA('Pest x Symptom'!B6:Q6)</f>
        <v/>
      </c>
      <c r="H4" s="8">
        <f>IF(G4&gt;=3,"Yes","No (needs 3+ symptoms)")</f>
        <v/>
      </c>
      <c r="I4" s="10" t="inlineStr">
        <is>
          <t>3, 13, 17, 18</t>
        </is>
      </c>
    </row>
    <row r="5">
      <c r="A5" s="10" t="inlineStr">
        <is>
          <t>Cabbage Caterpillars</t>
        </is>
      </c>
      <c r="B5" s="10" t="inlineStr">
        <is>
          <t>Pieris brassicae, P. rapae, P. napi, Mamestra brassicae, Plutella xylostella</t>
        </is>
      </c>
      <c r="C5" s="8" t="inlineStr">
        <is>
          <t>4</t>
        </is>
      </c>
      <c r="D5" s="10" t="inlineStr">
        <is>
          <t>Insect</t>
        </is>
      </c>
      <c r="E5" s="10" t="inlineStr">
        <is>
          <t>Cabbage</t>
        </is>
      </c>
      <c r="F5" s="10" t="inlineStr">
        <is>
          <t>Holes in leaves, Caterpillars on leaves</t>
        </is>
      </c>
      <c r="G5" s="8">
        <f>COUNTA('Pest x Symptom'!B7:Q7)</f>
        <v/>
      </c>
      <c r="H5" s="8">
        <f>IF(G5&gt;=3,"Yes","No (needs 3+ symptoms)")</f>
        <v/>
      </c>
      <c r="I5" s="10" t="inlineStr">
        <is>
          <t>4, 14</t>
        </is>
      </c>
    </row>
    <row r="6">
      <c r="A6" s="10" t="inlineStr">
        <is>
          <t>Cabbage Root Fly</t>
        </is>
      </c>
      <c r="B6" s="10" t="inlineStr">
        <is>
          <t>Delia radicum</t>
        </is>
      </c>
      <c r="C6" s="8" t="inlineStr">
        <is>
          <t>5</t>
        </is>
      </c>
      <c r="D6" s="10" t="inlineStr">
        <is>
          <t>Insect</t>
        </is>
      </c>
      <c r="E6" s="10" t="inlineStr">
        <is>
          <t>Cabbage</t>
        </is>
      </c>
      <c r="F6" s="10" t="inlineStr">
        <is>
          <t>Wilting, Stunted growth, Tunnelled roots or tubers</t>
        </is>
      </c>
      <c r="G6" s="8">
        <f>COUNTA('Pest x Symptom'!B8:Q8)</f>
        <v/>
      </c>
      <c r="H6" s="8">
        <f>IF(G6&gt;=3,"Yes","No (needs 3+ symptoms)")</f>
        <v/>
      </c>
      <c r="I6" s="10" t="inlineStr">
        <is>
          <t>5, 14</t>
        </is>
      </c>
    </row>
    <row r="7">
      <c r="A7" s="10" t="inlineStr">
        <is>
          <t>Red Spider Mite</t>
        </is>
      </c>
      <c r="B7" s="10" t="inlineStr">
        <is>
          <t>Tetranychus urticae</t>
        </is>
      </c>
      <c r="C7" s="8" t="inlineStr">
        <is>
          <t>6</t>
        </is>
      </c>
      <c r="D7" s="10" t="inlineStr">
        <is>
          <t>Mite</t>
        </is>
      </c>
      <c r="E7" s="10" t="inlineStr">
        <is>
          <t>Tomato, Cucumber, Pepper</t>
        </is>
      </c>
      <c r="F7" s="10" t="inlineStr">
        <is>
          <t>Mottled leaves, Fine webbing</t>
        </is>
      </c>
      <c r="G7" s="8">
        <f>COUNTA('Pest x Symptom'!B9:Q9)</f>
        <v/>
      </c>
      <c r="H7" s="8">
        <f>IF(G7&gt;=3,"Yes","No (needs 3+ symptoms)")</f>
        <v/>
      </c>
      <c r="I7" s="10" t="inlineStr">
        <is>
          <t>6, 17, 18</t>
        </is>
      </c>
    </row>
    <row r="8">
      <c r="A8" s="10" t="inlineStr">
        <is>
          <t>Thrips</t>
        </is>
      </c>
      <c r="B8" s="10" t="inlineStr">
        <is>
          <t>Order Thysanoptera</t>
        </is>
      </c>
      <c r="C8" s="8" t="inlineStr">
        <is>
          <t>7</t>
        </is>
      </c>
      <c r="D8" s="10" t="inlineStr">
        <is>
          <t>Insect</t>
        </is>
      </c>
      <c r="E8" s="10" t="inlineStr">
        <is>
          <t>Tomato, Cucumber</t>
        </is>
      </c>
      <c r="F8" s="10" t="inlineStr">
        <is>
          <t>Silvery patches, Mottled leaves, Curled or distorted leaves, Stunted growth</t>
        </is>
      </c>
      <c r="G8" s="8">
        <f>COUNTA('Pest x Symptom'!B10:Q10)</f>
        <v/>
      </c>
      <c r="H8" s="8">
        <f>IF(G8&gt;=3,"Yes","No (needs 3+ symptoms)")</f>
        <v/>
      </c>
      <c r="I8" s="10" t="inlineStr">
        <is>
          <t>7</t>
        </is>
      </c>
    </row>
    <row r="9">
      <c r="A9" s="10" t="inlineStr">
        <is>
          <t>Slugs and Snails</t>
        </is>
      </c>
      <c r="B9" s="10" t="inlineStr">
        <is>
          <t>Genera Arion, Cornu, Deroceras, Limacus (class Gastropoda)</t>
        </is>
      </c>
      <c r="C9" s="8" t="inlineStr">
        <is>
          <t>8</t>
        </is>
      </c>
      <c r="D9" s="10" t="inlineStr">
        <is>
          <t>Mollusc</t>
        </is>
      </c>
      <c r="E9" s="10" t="inlineStr">
        <is>
          <t>Lettuce, Spinach, Cucumber, Strawberry, Potato, Cabbage</t>
        </is>
      </c>
      <c r="F9" s="10" t="inlineStr">
        <is>
          <t>Holes in leaves, Slime trails, Tunnelled roots or tubers</t>
        </is>
      </c>
      <c r="G9" s="8">
        <f>COUNTA('Pest x Symptom'!B11:Q11)</f>
        <v/>
      </c>
      <c r="H9" s="8">
        <f>IF(G9&gt;=3,"Yes","No (needs 3+ symptoms)")</f>
        <v/>
      </c>
      <c r="I9" s="10" t="inlineStr">
        <is>
          <t>8, 14, 15, 16, 18, 19, 20</t>
        </is>
      </c>
      <c r="J9" s="17" t="inlineStr">
        <is>
          <t>Yes - wireworm tunnels run straight through a tuber, slug damage leaves small openings leading to cavities (RHS ref 9). Advice on the pest page only, not a tick-box symptom.</t>
        </is>
      </c>
    </row>
    <row r="10">
      <c r="A10" s="10" t="inlineStr">
        <is>
          <t>Wireworms</t>
        </is>
      </c>
      <c r="B10" s="10" t="inlineStr">
        <is>
          <t>Genus Agriotes (click beetle larvae)</t>
        </is>
      </c>
      <c r="C10" s="8" t="inlineStr">
        <is>
          <t>9</t>
        </is>
      </c>
      <c r="D10" s="10" t="inlineStr">
        <is>
          <t>Insect</t>
        </is>
      </c>
      <c r="E10" s="10" t="inlineStr">
        <is>
          <t>Potato</t>
        </is>
      </c>
      <c r="F10" s="10" t="inlineStr">
        <is>
          <t>Tunnelled roots or tubers</t>
        </is>
      </c>
      <c r="G10" s="8">
        <f>COUNTA('Pest x Symptom'!B12:Q12)</f>
        <v/>
      </c>
      <c r="H10" s="8">
        <f>IF(G10&gt;=3,"Yes","No (needs 3+ symptoms)")</f>
        <v/>
      </c>
      <c r="I10" s="10" t="inlineStr">
        <is>
          <t>9, 15</t>
        </is>
      </c>
      <c r="J10" s="17" t="inlineStr">
        <is>
          <t>Yes - wireworm tunnels run straight through a tuber, slug damage leaves small openings leading to cavities (RHS ref 9). Advice on the pest page only, not a tick-box symptom.</t>
        </is>
      </c>
    </row>
    <row r="11">
      <c r="A11" s="10" t="inlineStr">
        <is>
          <t>Potato Cyst Nematodes</t>
        </is>
      </c>
      <c r="B11" s="10" t="inlineStr">
        <is>
          <t>Globodera rostochiensis and G. pallida</t>
        </is>
      </c>
      <c r="C11" s="8" t="inlineStr">
        <is>
          <t>10</t>
        </is>
      </c>
      <c r="D11" s="10" t="inlineStr">
        <is>
          <t>Nematode</t>
        </is>
      </c>
      <c r="E11" s="10" t="inlineStr">
        <is>
          <t>Potato, Tomato</t>
        </is>
      </c>
      <c r="F11" s="10" t="inlineStr">
        <is>
          <t>Yellowing leaves, Wilting</t>
        </is>
      </c>
      <c r="G11" s="8">
        <f>COUNTA('Pest x Symptom'!B13:Q13)</f>
        <v/>
      </c>
      <c r="H11" s="8">
        <f>IF(G11&gt;=3,"Yes","No (needs 3+ symptoms)")</f>
        <v/>
      </c>
      <c r="I11" s="10" t="inlineStr">
        <is>
          <t>10, 15</t>
        </is>
      </c>
    </row>
    <row r="12">
      <c r="A12" s="10" t="inlineStr">
        <is>
          <t>Vine Weevil</t>
        </is>
      </c>
      <c r="B12" s="10" t="inlineStr">
        <is>
          <t>Otiorhynchus sulcatus</t>
        </is>
      </c>
      <c r="C12" s="8" t="inlineStr">
        <is>
          <t>11</t>
        </is>
      </c>
      <c r="D12" s="10" t="inlineStr">
        <is>
          <t>Insect</t>
        </is>
      </c>
      <c r="E12" s="10" t="inlineStr">
        <is>
          <t>Strawberry</t>
        </is>
      </c>
      <c r="F12" s="10" t="inlineStr">
        <is>
          <t>Notched leaf edges, Wilting</t>
        </is>
      </c>
      <c r="G12" s="8">
        <f>COUNTA('Pest x Symptom'!B14:Q14)</f>
        <v/>
      </c>
      <c r="H12" s="8">
        <f>IF(G12&gt;=3,"Yes","No (needs 3+ symptoms)")</f>
        <v/>
      </c>
      <c r="I12" s="10" t="inlineStr">
        <is>
          <t>11, 19</t>
        </is>
      </c>
    </row>
    <row r="13">
      <c r="A13" s="10" t="inlineStr">
        <is>
          <t>Cutworms</t>
        </is>
      </c>
      <c r="B13" s="10" t="inlineStr">
        <is>
          <t>Agrotis segetum (turnip moth), Noctua pronuba (large yellow underwing), Agrotis exclamationis (heart and dart moth)</t>
        </is>
      </c>
      <c r="C13" s="8" t="inlineStr">
        <is>
          <t>21</t>
        </is>
      </c>
      <c r="D13" s="10" t="inlineStr">
        <is>
          <t>Insect (moth caterpillar)</t>
        </is>
      </c>
      <c r="E13" s="10" t="inlineStr">
        <is>
          <t>Lettuce, Potato</t>
        </is>
      </c>
      <c r="F13" s="10" t="inlineStr">
        <is>
          <t>Wilting, Stems cut at soil level</t>
        </is>
      </c>
      <c r="G13" s="8">
        <f>COUNTA('Pest x Symptom'!B15:Q15)</f>
        <v/>
      </c>
      <c r="H13" s="8">
        <f>IF(G13&gt;=3,"Yes","No (needs 3+ symptoms)")</f>
        <v/>
      </c>
      <c r="I13" s="10" t="inlineStr">
        <is>
          <t>15, 16, 21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4" customWidth="1" min="1" max="1"/>
    <col width="80" customWidth="1" min="2" max="2"/>
    <col width="16" customWidth="1" min="3" max="3"/>
    <col width="22" customWidth="1" min="4" max="4"/>
  </cols>
  <sheetData>
    <row r="1">
      <c r="A1" s="5" t="inlineStr">
        <is>
          <t>Crop</t>
        </is>
      </c>
      <c r="B1" s="5" t="inlineStr">
        <is>
          <t>Pests that attack it</t>
        </is>
      </c>
      <c r="C1" s="5" t="inlineStr">
        <is>
          <t>Number of pests</t>
        </is>
      </c>
      <c r="D1" s="5" t="inlineStr">
        <is>
          <t>Status</t>
        </is>
      </c>
    </row>
    <row r="2">
      <c r="A2" s="10" t="inlineStr">
        <is>
          <t>Tomato</t>
        </is>
      </c>
      <c r="B2" s="10" t="inlineStr">
        <is>
          <t>Aphids, Glasshouse Whitefly, Red Spider Mite, Thrips, Potato Cyst Nematodes</t>
        </is>
      </c>
      <c r="C2" s="8">
        <f>COUNTIF('Pest x Crop'!B4:B15,"?*")</f>
        <v/>
      </c>
      <c r="D2" s="10">
        <f>IF(C2=0,"No verified pest",IF(C2&lt;3,"Thin coverage","Covered"))</f>
        <v/>
      </c>
    </row>
    <row r="3">
      <c r="A3" s="10" t="inlineStr">
        <is>
          <t>Cabbage</t>
        </is>
      </c>
      <c r="B3" s="10" t="inlineStr">
        <is>
          <t>Mealy Cabbage Aphid, Cabbage Caterpillars, Cabbage Root Fly, Slugs and Snails</t>
        </is>
      </c>
      <c r="C3" s="8">
        <f>COUNTIF('Pest x Crop'!C4:C15,"?*")</f>
        <v/>
      </c>
      <c r="D3" s="10">
        <f>IF(C3=0,"No verified pest",IF(C3&lt;3,"Thin coverage","Covered"))</f>
        <v/>
      </c>
    </row>
    <row r="4">
      <c r="A4" s="10" t="inlineStr">
        <is>
          <t>Potato</t>
        </is>
      </c>
      <c r="B4" s="10" t="inlineStr">
        <is>
          <t>Slugs and Snails, Wireworms, Potato Cyst Nematodes, Cutworms</t>
        </is>
      </c>
      <c r="C4" s="8">
        <f>COUNTIF('Pest x Crop'!D4:D15,"?*")</f>
        <v/>
      </c>
      <c r="D4" s="10">
        <f>IF(C4=0,"No verified pest",IF(C4&lt;3,"Thin coverage","Covered"))</f>
        <v/>
      </c>
    </row>
    <row r="5">
      <c r="A5" s="10" t="inlineStr">
        <is>
          <t>Lettuce</t>
        </is>
      </c>
      <c r="B5" s="10" t="inlineStr">
        <is>
          <t>Aphids, Slugs and Snails, Cutworms</t>
        </is>
      </c>
      <c r="C5" s="8">
        <f>COUNTIF('Pest x Crop'!E4:E15,"?*")</f>
        <v/>
      </c>
      <c r="D5" s="10">
        <f>IF(C5=0,"No verified pest",IF(C5&lt;3,"Thin coverage","Covered"))</f>
        <v/>
      </c>
    </row>
    <row r="6">
      <c r="A6" s="10" t="inlineStr">
        <is>
          <t>Pepper</t>
        </is>
      </c>
      <c r="B6" s="10" t="inlineStr">
        <is>
          <t>Aphids, Glasshouse Whitefly, Red Spider Mite</t>
        </is>
      </c>
      <c r="C6" s="8">
        <f>COUNTIF('Pest x Crop'!F4:F15,"?*")</f>
        <v/>
      </c>
      <c r="D6" s="10">
        <f>IF(C6=0,"No verified pest",IF(C6&lt;3,"Thin coverage","Covered"))</f>
        <v/>
      </c>
    </row>
    <row r="7">
      <c r="A7" s="10" t="inlineStr">
        <is>
          <t>Cucumber</t>
        </is>
      </c>
      <c r="B7" s="10" t="inlineStr">
        <is>
          <t>Aphids, Glasshouse Whitefly, Red Spider Mite, Thrips, Slugs and Snails</t>
        </is>
      </c>
      <c r="C7" s="8">
        <f>COUNTIF('Pest x Crop'!G4:G15,"?*")</f>
        <v/>
      </c>
      <c r="D7" s="10">
        <f>IF(C7=0,"No verified pest",IF(C7&lt;3,"Thin coverage","Covered"))</f>
        <v/>
      </c>
    </row>
    <row r="8">
      <c r="A8" s="10" t="inlineStr">
        <is>
          <t>Strawberry</t>
        </is>
      </c>
      <c r="B8" s="10" t="inlineStr">
        <is>
          <t>Aphids, Slugs and Snails, Vine Weevil</t>
        </is>
      </c>
      <c r="C8" s="8">
        <f>COUNTIF('Pest x Crop'!H4:H15,"?*")</f>
        <v/>
      </c>
      <c r="D8" s="10">
        <f>IF(C8=0,"No verified pest",IF(C8&lt;3,"Thin coverage","Covered"))</f>
        <v/>
      </c>
    </row>
    <row r="9">
      <c r="A9" s="10" t="inlineStr">
        <is>
          <t>Spinach</t>
        </is>
      </c>
      <c r="B9" s="10" t="inlineStr">
        <is>
          <t>Slugs and Snails</t>
        </is>
      </c>
      <c r="C9" s="8">
        <f>COUNTIF('Pest x Crop'!I4:I15,"?*")</f>
        <v/>
      </c>
      <c r="D9" s="10">
        <f>IF(C9=0,"No verified pest",IF(C9&lt;3,"Thin coverage","Covered"))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6" customWidth="1" min="1" max="1"/>
    <col width="135" customWidth="1" min="2" max="2"/>
    <col width="18" customWidth="1" min="3" max="3"/>
  </cols>
  <sheetData>
    <row r="1">
      <c r="A1" s="5" t="inlineStr">
        <is>
          <t>Ref</t>
        </is>
      </c>
      <c r="B1" s="5" t="inlineStr">
        <is>
          <t>Source (Harvard style)</t>
        </is>
      </c>
      <c r="C1" s="5" t="inlineStr">
        <is>
          <t>Accessed</t>
        </is>
      </c>
    </row>
    <row r="2">
      <c r="A2" s="8" t="n">
        <v>1</v>
      </c>
      <c r="B2" s="10" t="inlineStr">
        <is>
          <t>Royal Horticultural Society (n.d.) Aphids. Available at: https://www.rhs.org.uk/biodiversity/aphids</t>
        </is>
      </c>
      <c r="C2" s="8" t="inlineStr">
        <is>
          <t>13 October 2026</t>
        </is>
      </c>
    </row>
    <row r="3">
      <c r="A3" s="8" t="n">
        <v>2</v>
      </c>
      <c r="B3" s="10" t="inlineStr">
        <is>
          <t>Royal Horticultural Society (n.d.) Mealy cabbage aphid. Available at: https://www.rhs.org.uk/biodiversity/mealy-cabbage-aphid</t>
        </is>
      </c>
      <c r="C3" s="8" t="inlineStr">
        <is>
          <t>13 October 2026</t>
        </is>
      </c>
    </row>
    <row r="4">
      <c r="A4" s="8" t="n">
        <v>3</v>
      </c>
      <c r="B4" s="10" t="inlineStr">
        <is>
          <t>Royal Horticultural Society (n.d.) Glasshouse whitefly. Available at: https://www.rhs.org.uk/biodiversity/glasshouse-whitefly</t>
        </is>
      </c>
      <c r="C4" s="8" t="inlineStr">
        <is>
          <t>13 October 2026</t>
        </is>
      </c>
    </row>
    <row r="5">
      <c r="A5" s="8" t="n">
        <v>4</v>
      </c>
      <c r="B5" s="10" t="inlineStr">
        <is>
          <t>Royal Horticultural Society (n.d.) Cabbage caterpillars. Available at: https://www.rhs.org.uk/biodiversity/cabbage-caterpillars</t>
        </is>
      </c>
      <c r="C5" s="8" t="inlineStr">
        <is>
          <t>13 October 2026</t>
        </is>
      </c>
    </row>
    <row r="6">
      <c r="A6" s="8" t="n">
        <v>5</v>
      </c>
      <c r="B6" s="10" t="inlineStr">
        <is>
          <t>Royal Horticultural Society (n.d.) Cabbage root fly. Available at: https://www.rhs.org.uk/biodiversity/cabbage-root-fly</t>
        </is>
      </c>
      <c r="C6" s="8" t="inlineStr">
        <is>
          <t>13 October 2026</t>
        </is>
      </c>
    </row>
    <row r="7">
      <c r="A7" s="8" t="n">
        <v>6</v>
      </c>
      <c r="B7" s="10" t="inlineStr">
        <is>
          <t>Royal Horticultural Society (n.d.) Glasshouse red spider mite. Available at: https://www.rhs.org.uk/biodiversity/glasshouse-red-spider-mite</t>
        </is>
      </c>
      <c r="C7" s="8" t="inlineStr">
        <is>
          <t>13 October 2026</t>
        </is>
      </c>
    </row>
    <row r="8">
      <c r="A8" s="8" t="n">
        <v>7</v>
      </c>
      <c r="B8" s="10" t="inlineStr">
        <is>
          <t>Royal Horticultural Society (n.d.) Thrips. Available at: https://www.rhs.org.uk/biodiversity/thrips</t>
        </is>
      </c>
      <c r="C8" s="8" t="inlineStr">
        <is>
          <t>13 October 2026</t>
        </is>
      </c>
    </row>
    <row r="9">
      <c r="A9" s="8" t="n">
        <v>8</v>
      </c>
      <c r="B9" s="10" t="inlineStr">
        <is>
          <t>Royal Horticultural Society (n.d.) Slugs and snails. Available at: https://www.rhs.org.uk/biodiversity/slugs-and-snails</t>
        </is>
      </c>
      <c r="C9" s="8" t="inlineStr">
        <is>
          <t>13 October 2026</t>
        </is>
      </c>
    </row>
    <row r="10">
      <c r="A10" s="8" t="n">
        <v>9</v>
      </c>
      <c r="B10" s="10" t="inlineStr">
        <is>
          <t>Royal Horticultural Society (n.d.) Wireworms. Available at: https://www.rhs.org.uk/biodiversity/wireworms</t>
        </is>
      </c>
      <c r="C10" s="8" t="inlineStr">
        <is>
          <t>13 October 2026</t>
        </is>
      </c>
    </row>
    <row r="11">
      <c r="A11" s="8" t="n">
        <v>10</v>
      </c>
      <c r="B11" s="10" t="inlineStr">
        <is>
          <t>Royal Horticultural Society (n.d.) Potato cyst nematodes. Available at: https://www.rhs.org.uk/biodiversity/potato-cyst-nematodes</t>
        </is>
      </c>
      <c r="C11" s="8" t="inlineStr">
        <is>
          <t>13 October 2026</t>
        </is>
      </c>
    </row>
    <row r="12">
      <c r="A12" s="8" t="n">
        <v>11</v>
      </c>
      <c r="B12" s="10" t="inlineStr">
        <is>
          <t>Royal Horticultural Society (n.d.) Vine weevil. Available at: https://www.rhs.org.uk/biodiversity/vine-weevil</t>
        </is>
      </c>
      <c r="C12" s="8" t="inlineStr">
        <is>
          <t>13 October 2026</t>
        </is>
      </c>
    </row>
    <row r="13">
      <c r="A13" s="8" t="n">
        <v>12</v>
      </c>
      <c r="B13" s="10" t="inlineStr">
        <is>
          <t>Royal Horticultural Society (n.d.) Fruit aphids. Available at: https://www.rhs.org.uk/biodiversity/fruit-aphids</t>
        </is>
      </c>
      <c r="C13" s="8" t="inlineStr">
        <is>
          <t>13 October 2026</t>
        </is>
      </c>
    </row>
    <row r="14">
      <c r="A14" s="8" t="n">
        <v>13</v>
      </c>
      <c r="B14" s="10" t="inlineStr">
        <is>
          <t>Royal Horticultural Society (n.d.) How to grow tomatoes. Available at: https://www.rhs.org.uk/vegetables/tomatoes/grow-your-own</t>
        </is>
      </c>
      <c r="C14" s="8" t="inlineStr">
        <is>
          <t>13 October 2026</t>
        </is>
      </c>
    </row>
    <row r="15">
      <c r="A15" s="8" t="n">
        <v>14</v>
      </c>
      <c r="B15" s="10" t="inlineStr">
        <is>
          <t>Royal Horticultural Society (n.d.) How to grow cabbages. Available at: https://www.rhs.org.uk/vegetables/cabbages/grow-your-own</t>
        </is>
      </c>
      <c r="C15" s="8" t="inlineStr">
        <is>
          <t>13 October 2026</t>
        </is>
      </c>
    </row>
    <row r="16">
      <c r="A16" s="8" t="n">
        <v>15</v>
      </c>
      <c r="B16" s="10" t="inlineStr">
        <is>
          <t>Royal Horticultural Society (n.d.) How to grow potatoes. Available at: https://www.rhs.org.uk/vegetables/potatoes/grow-your-own</t>
        </is>
      </c>
      <c r="C16" s="8" t="inlineStr">
        <is>
          <t>13 October 2026</t>
        </is>
      </c>
    </row>
    <row r="17">
      <c r="A17" s="8" t="n">
        <v>16</v>
      </c>
      <c r="B17" s="10" t="inlineStr">
        <is>
          <t>Royal Horticultural Society (n.d.) How to grow lettuces. Available at: https://www.rhs.org.uk/vegetables/lettuce/grow-your-own</t>
        </is>
      </c>
      <c r="C17" s="8" t="inlineStr">
        <is>
          <t>13 October 2026</t>
        </is>
      </c>
    </row>
    <row r="18">
      <c r="A18" s="8" t="n">
        <v>17</v>
      </c>
      <c r="B18" s="10" t="inlineStr">
        <is>
          <t>Royal Horticultural Society (n.d.) How to grow chilli peppers. Available at: https://www.rhs.org.uk/vegetables/chilli-pepper/grow-your-own</t>
        </is>
      </c>
      <c r="C18" s="8" t="inlineStr">
        <is>
          <t>13 October 2026</t>
        </is>
      </c>
    </row>
    <row r="19">
      <c r="A19" s="8" t="n">
        <v>18</v>
      </c>
      <c r="B19" s="10" t="inlineStr">
        <is>
          <t>Royal Horticultural Society (n.d.) How to grow cucumbers. Available at: https://www.rhs.org.uk/vegetables/cucumbers/grow-your-own</t>
        </is>
      </c>
      <c r="C19" s="8" t="inlineStr">
        <is>
          <t>13 October 2026</t>
        </is>
      </c>
    </row>
    <row r="20">
      <c r="A20" s="8" t="n">
        <v>19</v>
      </c>
      <c r="B20" s="10" t="inlineStr">
        <is>
          <t>Royal Horticultural Society (n.d.) How to grow strawberries. Available at: https://www.rhs.org.uk/fruit/strawberries/grow-your-own</t>
        </is>
      </c>
      <c r="C20" s="8" t="inlineStr">
        <is>
          <t>13 October 2026</t>
        </is>
      </c>
    </row>
    <row r="21">
      <c r="A21" s="8" t="n">
        <v>20</v>
      </c>
      <c r="B21" s="10" t="inlineStr">
        <is>
          <t>Royal Horticultural Society (n.d.) How to grow spinach. Available at: https://www.rhs.org.uk/vegetables/spinach/grow-your-own</t>
        </is>
      </c>
      <c r="C21" s="8" t="inlineStr">
        <is>
          <t>13 October 2026</t>
        </is>
      </c>
    </row>
    <row r="22">
      <c r="A22" s="8" t="n">
        <v>21</v>
      </c>
      <c r="B22" s="10" t="inlineStr">
        <is>
          <t>Royal Horticultural Society (n.d.) Cutworms. Available at: https://www.rhs.org.uk/biodiversity/cutworms</t>
        </is>
      </c>
      <c r="C22" s="8" t="inlineStr">
        <is>
          <t>13 October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2026-10-13T20:00:18Z</dcterms:created>
  <dcterms:modified xsi:type="dcterms:W3CDTF">2026-10-13T20:24:10Z</dcterms:modified>
</cp:coreProperties>
</file>