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Project map" sheetId="2" state="visible" r:id="rId2"/>
    <sheet name="Pest x Crop" sheetId="3" state="visible" r:id="rId3"/>
    <sheet name="Pest x Symptom" sheetId="4" state="visible" r:id="rId4"/>
    <sheet name="Pests" sheetId="5" state="visible" r:id="rId5"/>
    <sheet name="Crops" sheetId="6" state="visible" r:id="rId6"/>
    <sheet name="Symptoms" sheetId="7" state="visible" r:id="rId7"/>
    <sheet name="Matching rules" sheetId="8" state="visible" r:id="rId8"/>
    <sheet name="Scenarios" sheetId="9" state="visible" r:id="rId9"/>
    <sheet name="Work plan" sheetId="10" state="visible" r:id="rId10"/>
    <sheet name="Photos" sheetId="11" state="visible" r:id="rId11"/>
    <sheet name="References" sheetId="12" state="visible" r:id="rId1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4452A"/>
      <sz val="14"/>
    </font>
    <font>
      <name val="Arial"/>
      <color rgb="00555555"/>
      <sz val="9"/>
    </font>
    <font>
      <name val="Arial"/>
      <b val="1"/>
      <sz val="10"/>
    </font>
    <font>
      <name val="Arial"/>
      <sz val="10"/>
    </font>
    <font>
      <name val="Arial"/>
      <b val="1"/>
      <color rgb="00FFFFFF"/>
      <sz val="10"/>
    </font>
    <font>
      <name val="Arial"/>
      <b val="1"/>
      <sz val="9"/>
    </font>
    <font>
      <name val="Arial"/>
      <b val="1"/>
      <sz val="11"/>
    </font>
    <font>
      <name val="Arial"/>
      <color rgb="000000FF"/>
      <sz val="10"/>
    </font>
    <font>
      <name val="Arial"/>
      <b val="1"/>
    </font>
  </fonts>
  <fills count="9">
    <fill>
      <patternFill/>
    </fill>
    <fill>
      <patternFill patternType="gray125"/>
    </fill>
    <fill>
      <patternFill patternType="solid">
        <fgColor rgb="001F7A3C"/>
      </patternFill>
    </fill>
    <fill>
      <patternFill patternType="solid">
        <fgColor rgb="00FFF2CC"/>
      </patternFill>
    </fill>
    <fill>
      <patternFill patternType="solid">
        <fgColor rgb="00DCE9F7"/>
      </patternFill>
    </fill>
    <fill>
      <patternFill patternType="solid">
        <fgColor rgb="00D9EAD3"/>
      </patternFill>
    </fill>
    <fill>
      <patternFill patternType="solid">
        <fgColor rgb="00F4CCCC"/>
      </patternFill>
    </fill>
    <fill>
      <patternFill patternType="solid">
        <fgColor rgb="00FFFF00"/>
      </patternFill>
    </fill>
    <fill>
      <patternFill patternType="solid">
        <fgColor rgb="00C6EFCE"/>
      </patternFill>
    </fill>
  </fills>
  <borders count="2">
    <border>
      <left/>
      <right/>
      <top/>
      <bottom/>
      <diagonal/>
    </border>
    <border>
      <left style="thin">
        <color rgb="00C3D6C9"/>
      </left>
      <right style="thin">
        <color rgb="00C3D6C9"/>
      </right>
      <top style="thin">
        <color rgb="00C3D6C9"/>
      </top>
      <bottom style="thin">
        <color rgb="00C3D6C9"/>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5" fillId="2" borderId="1" applyAlignment="1" pivotButton="0" quotePrefix="0" xfId="0">
      <alignment horizontal="center" vertical="center" wrapText="1"/>
    </xf>
    <xf numFmtId="0" fontId="4" fillId="3" borderId="1" applyAlignment="1" pivotButton="0" quotePrefix="0" xfId="0">
      <alignment horizontal="center" vertical="top" wrapText="1"/>
    </xf>
    <xf numFmtId="0" fontId="4" fillId="4" borderId="1" applyAlignment="1" pivotButton="0" quotePrefix="0" xfId="0">
      <alignment horizontal="center" vertical="top" wrapText="1"/>
    </xf>
    <xf numFmtId="0" fontId="4" fillId="5" borderId="1" applyAlignment="1" pivotButton="0" quotePrefix="0" xfId="0">
      <alignment horizontal="center" vertical="top" wrapText="1"/>
    </xf>
    <xf numFmtId="0" fontId="4" fillId="6" borderId="1" applyAlignment="1" pivotButton="0" quotePrefix="0" xfId="0">
      <alignment horizontal="center" vertical="top" wrapText="1"/>
    </xf>
    <xf numFmtId="0" fontId="4" fillId="0" borderId="1" applyAlignment="1" pivotButton="0" quotePrefix="0" xfId="0">
      <alignment horizontal="center" vertical="top" wrapText="1"/>
    </xf>
    <xf numFmtId="0" fontId="6" fillId="0" borderId="1" applyAlignment="1" pivotButton="0" quotePrefix="0" xfId="0">
      <alignment horizontal="left" vertical="top" wrapText="1"/>
    </xf>
    <xf numFmtId="0" fontId="3" fillId="0" borderId="1" applyAlignment="1" pivotButton="0" quotePrefix="0" xfId="0">
      <alignment horizontal="center" vertical="top" wrapText="1"/>
    </xf>
    <xf numFmtId="0" fontId="7" fillId="0" borderId="0" pivotButton="0" quotePrefix="0" xfId="0"/>
    <xf numFmtId="0" fontId="3" fillId="0" borderId="0" pivotButton="0" quotePrefix="0" xfId="0"/>
    <xf numFmtId="1" fontId="8" fillId="7" borderId="1" applyAlignment="1" pivotButton="0" quotePrefix="0" xfId="0">
      <alignment horizontal="center"/>
    </xf>
    <xf numFmtId="9" fontId="8" fillId="7" borderId="1" applyAlignment="1" pivotButton="0" quotePrefix="0" xfId="0">
      <alignment horizontal="center"/>
    </xf>
    <xf numFmtId="0" fontId="8" fillId="7" borderId="1" applyAlignment="1" pivotButton="0" quotePrefix="0" xfId="0">
      <alignment horizontal="center" vertical="top" wrapText="1"/>
    </xf>
    <xf numFmtId="9" fontId="4" fillId="0" borderId="1" applyAlignment="1" pivotButton="0" quotePrefix="0" xfId="0">
      <alignment horizontal="center" vertical="top" wrapText="1"/>
    </xf>
    <xf numFmtId="0" fontId="4" fillId="0" borderId="0" pivotButton="0" quotePrefix="0" xfId="0"/>
    <xf numFmtId="0" fontId="9" fillId="0" borderId="0" pivotButton="0" quotePrefix="0" xfId="0"/>
    <xf numFmtId="0" fontId="5" fillId="2" borderId="1" applyAlignment="1" pivotButton="0" quotePrefix="0" xfId="0">
      <alignment horizontal="center" wrapText="1"/>
    </xf>
    <xf numFmtId="0" fontId="4" fillId="6" borderId="1" applyAlignment="1" pivotButton="0" quotePrefix="0" xfId="0">
      <alignment horizontal="left" vertical="top" wrapText="1"/>
    </xf>
    <xf numFmtId="0" fontId="4" fillId="0" borderId="1" applyAlignment="1" pivotButton="0" quotePrefix="0" xfId="0">
      <alignment vertical="top" wrapText="1"/>
    </xf>
    <xf numFmtId="0" fontId="4" fillId="5" borderId="1" applyAlignment="1" pivotButton="0" quotePrefix="0" xfId="0">
      <alignment horizontal="left" vertical="top" wrapText="1"/>
    </xf>
    <xf numFmtId="0" fontId="4" fillId="8" borderId="1" applyAlignment="1" pivotButton="0" quotePrefix="0" xfId="0">
      <alignment horizontal="center" vertical="top" wrapText="1"/>
    </xf>
    <xf numFmtId="0" fontId="4" fillId="8"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0" customWidth="1" min="1" max="1"/>
    <col width="120" customWidth="1" min="2" max="2"/>
  </cols>
  <sheetData>
    <row r="1">
      <c r="A1" s="1" t="inlineStr">
        <is>
          <t>Pest2Veg: the one workbook we work from</t>
        </is>
      </c>
    </row>
    <row r="2">
      <c r="A2" s="2" t="inlineStr">
        <is>
          <t>CPU4106 group project. UK vegetable growers. Supports UN SDG 2: Zero Hunger. Checked 14 October 2026.</t>
        </is>
      </c>
    </row>
    <row r="4">
      <c r="A4" s="3" t="inlineStr">
        <is>
          <t>What Pest2Veg does</t>
        </is>
      </c>
      <c r="B4" s="4" t="inlineStr">
        <is>
          <t>A grower picks a crop, ticks the symptoms they can see, and the site lists POSSIBLE pests with a High, Medium or Low match and the reason. It is not a diagnosis and it does not recognise pests from photos.</t>
        </is>
      </c>
    </row>
    <row r="5">
      <c r="A5" s="3" t="inlineStr">
        <is>
          <t>What this workbook is</t>
        </is>
      </c>
      <c r="B5" s="4" t="inlineStr">
        <is>
          <t>The human-readable version of js/pests-data.js plus the rules in js/matching.js. If the website and this workbook disagree, fix the workbook or the data until they match.</t>
        </is>
      </c>
    </row>
    <row r="6">
      <c r="A6" s="3" t="inlineStr">
        <is>
          <t>The one rule</t>
        </is>
      </c>
      <c r="B6" s="4" t="inlineStr">
        <is>
          <t>A link is only in here if a real source on the References sheet says so. Blank = not verified = not in the data. Never present an unverified claim as fact.</t>
        </is>
      </c>
    </row>
    <row r="7">
      <c r="A7" s="3" t="inlineStr">
        <is>
          <t>Scope</t>
        </is>
      </c>
      <c r="B7" s="4" t="inlineStr">
        <is>
          <t>8 crops, 12 pests, 16 symptoms, 21 sources. UK sources only (mostly the Royal Horticultural Society).</t>
        </is>
      </c>
    </row>
    <row r="8">
      <c r="A8" s="3" t="inlineStr">
        <is>
          <t>How the site works in 3 layers</t>
        </is>
      </c>
      <c r="B8" s="4" t="inlineStr">
        <is>
          <t>DATA (what we know: pests-data.js, Olu) -&gt; LOGIC (how we decide: matching.js, Shafaqat) -&gt; PAGES (what the grower sees: html by Kamran, css by Ike).</t>
        </is>
      </c>
    </row>
    <row r="9">
      <c r="A9" s="3" t="inlineStr">
        <is>
          <t>Known limits</t>
        </is>
      </c>
      <c r="B9" s="4" t="inlineStr">
        <is>
          <t>Spinach has only 1 sourced pest. Six pests can reach a High match (3+ symptoms needed). Some RHS pages loaded only partly. Photo licences still being checked.</t>
        </is>
      </c>
    </row>
    <row r="11">
      <c r="A11" s="5" t="inlineStr">
        <is>
          <t>SHEET</t>
        </is>
      </c>
      <c r="B11" s="5" t="inlineStr">
        <is>
          <t>WHAT IT IS FOR</t>
        </is>
      </c>
    </row>
    <row r="12">
      <c r="A12" s="3" t="inlineStr">
        <is>
          <t>Project map</t>
        </is>
      </c>
      <c r="B12" s="4" t="inlineStr">
        <is>
          <t>Every file in the project, who owns it, what it does</t>
        </is>
      </c>
    </row>
    <row r="13">
      <c r="A13" s="3" t="inlineStr">
        <is>
          <t>Pest x Crop</t>
        </is>
      </c>
      <c r="B13" s="4" t="inlineStr">
        <is>
          <t>Which pest attacks which crop, with the source number</t>
        </is>
      </c>
    </row>
    <row r="14">
      <c r="A14" s="3" t="inlineStr">
        <is>
          <t>Pest x Symptom</t>
        </is>
      </c>
      <c r="B14" s="4" t="inlineStr">
        <is>
          <t>Which symptom each pest causes, with the source number</t>
        </is>
      </c>
    </row>
    <row r="15">
      <c r="A15" s="3" t="inlineStr">
        <is>
          <t>Pests</t>
        </is>
      </c>
      <c r="B15" s="4" t="inlineStr">
        <is>
          <t>One row per pest: scientific name, size, colour, summary, management, sources, photo</t>
        </is>
      </c>
    </row>
    <row r="16">
      <c r="A16" s="3" t="inlineStr">
        <is>
          <t>Crops</t>
        </is>
      </c>
      <c r="B16" s="4" t="inlineStr">
        <is>
          <t>Each crop, its pests, and whether coverage is thin</t>
        </is>
      </c>
    </row>
    <row r="17">
      <c r="A17" s="3" t="inlineStr">
        <is>
          <t>Symptoms</t>
        </is>
      </c>
      <c r="B17" s="4" t="inlineStr">
        <is>
          <t>The 16 exact words used on the tick boxes, and how many pests have each</t>
        </is>
      </c>
    </row>
    <row r="18">
      <c r="A18" s="3" t="inlineStr">
        <is>
          <t>Matching rules</t>
        </is>
      </c>
      <c r="B18" s="4" t="inlineStr">
        <is>
          <t>How a result becomes High, Medium or Low, with a calculator you can change</t>
        </is>
      </c>
    </row>
    <row r="19">
      <c r="A19" s="3" t="inlineStr">
        <is>
          <t>Scenarios</t>
        </is>
      </c>
      <c r="B19" s="4" t="inlineStr">
        <is>
          <t>What the site shows for every crop with one symptom ticked, and worked multi-tick examples</t>
        </is>
      </c>
    </row>
    <row r="20">
      <c r="A20" s="3" t="inlineStr">
        <is>
          <t>Work plan</t>
        </is>
      </c>
      <c r="B20" s="4" t="inlineStr">
        <is>
          <t>Who does what next, with status</t>
        </is>
      </c>
    </row>
    <row r="21">
      <c r="A21" s="3" t="inlineStr">
        <is>
          <t>Photos</t>
        </is>
      </c>
      <c r="B21" s="4" t="inlineStr">
        <is>
          <t>Photo credit and licence status per pest</t>
        </is>
      </c>
    </row>
    <row r="22">
      <c r="A22" s="3" t="inlineStr">
        <is>
          <t>References</t>
        </is>
      </c>
      <c r="B22" s="4" t="inlineStr">
        <is>
          <t>All 21 sources with links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2" customWidth="1" min="1" max="1"/>
    <col width="28" customWidth="1" min="2" max="2"/>
    <col width="10" customWidth="1" min="3" max="3"/>
    <col width="95" customWidth="1" min="4" max="4"/>
  </cols>
  <sheetData>
    <row r="1">
      <c r="A1" s="1" t="inlineStr">
        <is>
          <t>Project map: every file, who owns it, what it does</t>
        </is>
      </c>
    </row>
    <row r="3">
      <c r="A3" s="5" t="inlineStr">
        <is>
          <t>File or folder</t>
        </is>
      </c>
      <c r="B3" s="5" t="inlineStr">
        <is>
          <t>Owner</t>
        </is>
      </c>
      <c r="C3" s="5" t="inlineStr">
        <is>
          <t>Layer</t>
        </is>
      </c>
      <c r="D3" s="5" t="inlineStr">
        <is>
          <t>What it does</t>
        </is>
      </c>
    </row>
    <row r="4">
      <c r="A4" s="4" t="inlineStr">
        <is>
          <t>index.html</t>
        </is>
      </c>
      <c r="B4" s="4" t="inlineStr">
        <is>
          <t>Kamran</t>
        </is>
      </c>
      <c r="C4" s="6" t="inlineStr">
        <is>
          <t>PAGE</t>
        </is>
      </c>
      <c r="D4" s="4" t="inlineStr">
        <is>
          <t>Home page: hero, features, grower news box, how identifying works</t>
        </is>
      </c>
    </row>
    <row r="5">
      <c r="A5" s="4" t="inlineStr">
        <is>
          <t>gallery.html</t>
        </is>
      </c>
      <c r="B5" s="4" t="inlineStr">
        <is>
          <t>Kamran</t>
        </is>
      </c>
      <c r="C5" s="6" t="inlineStr">
        <is>
          <t>PAGE</t>
        </is>
      </c>
      <c r="D5" s="4" t="inlineStr">
        <is>
          <t>Pest Gallery: search box and two drop-downs, grid of pest cards</t>
        </is>
      </c>
    </row>
    <row r="6">
      <c r="A6" s="4" t="inlineStr">
        <is>
          <t>identify.html</t>
        </is>
      </c>
      <c r="B6" s="4" t="inlineStr">
        <is>
          <t>Kamran</t>
        </is>
      </c>
      <c r="C6" s="6" t="inlineStr">
        <is>
          <t>PAGE</t>
        </is>
      </c>
      <c r="D6" s="4" t="inlineStr">
        <is>
          <t>Identify a Pest: crop tiles, symptom tick boxes, results</t>
        </is>
      </c>
    </row>
    <row r="7">
      <c r="A7" s="4" t="inlineStr">
        <is>
          <t>pest.html</t>
        </is>
      </c>
      <c r="B7" s="4" t="inlineStr">
        <is>
          <t>Kamran</t>
        </is>
      </c>
      <c r="C7" s="6" t="inlineStr">
        <is>
          <t>PAGE</t>
        </is>
      </c>
      <c r="D7" s="4" t="inlineStr">
        <is>
          <t>One pest: key facts, crops, symptoms, management, look-alike, sources</t>
        </is>
      </c>
    </row>
    <row r="8">
      <c r="A8" s="4" t="inlineStr">
        <is>
          <t>resources.html / about.html</t>
        </is>
      </c>
      <c r="B8" s="4" t="inlineStr">
        <is>
          <t>Kamran</t>
        </is>
      </c>
      <c r="C8" s="6" t="inlineStr">
        <is>
          <t>PAGE</t>
        </is>
      </c>
      <c r="D8" s="4" t="inlineStr">
        <is>
          <t>Guides and project information</t>
        </is>
      </c>
    </row>
    <row r="9">
      <c r="A9" s="4" t="inlineStr">
        <is>
          <t>css/styles.css, css/news.css</t>
        </is>
      </c>
      <c r="B9" s="4" t="inlineStr">
        <is>
          <t>Ike</t>
        </is>
      </c>
      <c r="C9" s="7" t="inlineStr">
        <is>
          <t>LOOK</t>
        </is>
      </c>
      <c r="D9" s="4" t="inlineStr">
        <is>
          <t>All colours, layout and the phone-first responsive design</t>
        </is>
      </c>
    </row>
    <row r="10">
      <c r="A10" s="4" t="inlineStr">
        <is>
          <t>assets/</t>
        </is>
      </c>
      <c r="B10" s="4" t="inlineStr">
        <is>
          <t>Ike (icons, logo) / Olu (photos)</t>
        </is>
      </c>
      <c r="C10" s="7" t="inlineStr">
        <is>
          <t>LOOK</t>
        </is>
      </c>
      <c r="D10" s="4" t="inlineStr">
        <is>
          <t>Logo, crop icons, pest pictures</t>
        </is>
      </c>
    </row>
    <row r="11">
      <c r="A11" s="4" t="inlineStr">
        <is>
          <t>js/pests-data.js</t>
        </is>
      </c>
      <c r="B11" s="4" t="inlineStr">
        <is>
          <t>Olu</t>
        </is>
      </c>
      <c r="C11" s="8" t="inlineStr">
        <is>
          <t>DATA</t>
        </is>
      </c>
      <c r="D11" s="4" t="inlineStr">
        <is>
          <t>THE FACTS: cropIcons, allCrops, allSymptoms, pests[]</t>
        </is>
      </c>
    </row>
    <row r="12">
      <c r="A12" s="4" t="inlineStr">
        <is>
          <t>js/matching.js</t>
        </is>
      </c>
      <c r="B12" s="4" t="inlineStr">
        <is>
          <t>Shafaqat</t>
        </is>
      </c>
      <c r="C12" s="8" t="inlineStr">
        <is>
          <t>LOGIC</t>
        </is>
      </c>
      <c r="D12" s="4" t="inlineStr">
        <is>
          <t>THE JUDGE: findPests (identify) and filterPests (gallery). Never touches the page</t>
        </is>
      </c>
    </row>
    <row r="13">
      <c r="A13" s="4" t="inlineStr">
        <is>
          <t>js/identify.js</t>
        </is>
      </c>
      <c r="B13" s="4" t="inlineStr">
        <is>
          <t>Shafaqat</t>
        </is>
      </c>
      <c r="C13" s="8" t="inlineStr">
        <is>
          <t>LOGIC</t>
        </is>
      </c>
      <c r="D13" s="4" t="inlineStr">
        <is>
          <t>Runs the Identify page: draws crops and ticks, calls findPests, draws result cards</t>
        </is>
      </c>
    </row>
    <row r="14">
      <c r="A14" s="4" t="inlineStr">
        <is>
          <t>js/gallery.js</t>
        </is>
      </c>
      <c r="B14" s="4" t="inlineStr">
        <is>
          <t>Shafaqat</t>
        </is>
      </c>
      <c r="C14" s="8" t="inlineStr">
        <is>
          <t>LOGIC</t>
        </is>
      </c>
      <c r="D14" s="4" t="inlineStr">
        <is>
          <t>Runs the Gallery page: draws cards, applies the search and filters</t>
        </is>
      </c>
    </row>
    <row r="15">
      <c r="A15" s="4" t="inlineStr">
        <is>
          <t>js/pest-page.js</t>
        </is>
      </c>
      <c r="B15" s="4" t="inlineStr">
        <is>
          <t>Shafaqat</t>
        </is>
      </c>
      <c r="C15" s="8" t="inlineStr">
        <is>
          <t>LOGIC</t>
        </is>
      </c>
      <c r="D15" s="4" t="inlineStr">
        <is>
          <t>Reads ?id=... from the address and fills in pest.html</t>
        </is>
      </c>
    </row>
    <row r="16">
      <c r="A16" s="4" t="inlineStr">
        <is>
          <t>js/nav.js / js/news.js</t>
        </is>
      </c>
      <c r="B16" s="4" t="inlineStr">
        <is>
          <t>Kamran / Shafaqat</t>
        </is>
      </c>
      <c r="C16" s="8" t="inlineStr">
        <is>
          <t>LOGIC</t>
        </is>
      </c>
      <c r="D16" s="4" t="inlineStr">
        <is>
          <t>Menu button on phones / the 5 grower news items</t>
        </is>
      </c>
    </row>
    <row r="17">
      <c r="A17" s="4" t="inlineStr">
        <is>
          <t>tests/tests.html</t>
        </is>
      </c>
      <c r="B17" s="4" t="inlineStr">
        <is>
          <t>Shafaqat</t>
        </is>
      </c>
      <c r="C17" s="9" t="inlineStr">
        <is>
          <t>CHECK</t>
        </is>
      </c>
      <c r="D17" s="4" t="inlineStr">
        <is>
          <t>Automatic checks (README says 30). Catches misspelt crops and symptoms</t>
        </is>
      </c>
    </row>
    <row r="18">
      <c r="A18" s="4" t="inlineStr">
        <is>
          <t>docs/</t>
        </is>
      </c>
      <c r="B18" s="4" t="inlineStr">
        <is>
          <t>Olu / Marvis</t>
        </is>
      </c>
      <c r="C18" s="10" t="inlineStr">
        <is>
          <t>DOCS</t>
        </is>
      </c>
      <c r="D18" s="4" t="inlineStr">
        <is>
          <t>References, data fields, matching rules, credits, test checklist and results</t>
        </is>
      </c>
    </row>
    <row r="19">
      <c r="A19" s="4" t="inlineStr">
        <is>
          <t>scripts/</t>
        </is>
      </c>
      <c r="B19" s="4" t="inlineStr">
        <is>
          <t>Marvis</t>
        </is>
      </c>
      <c r="C19" s="10" t="inlineStr">
        <is>
          <t>TOOLS</t>
        </is>
      </c>
      <c r="D19" s="4" t="inlineStr">
        <is>
          <t>Helper scripts (issues, setup, photo sheet)</t>
        </is>
      </c>
    </row>
    <row r="20">
      <c r="A20" s="4" t="inlineStr">
        <is>
          <t>learning/</t>
        </is>
      </c>
      <c r="B20" s="4" t="inlineStr">
        <is>
          <t>each person</t>
        </is>
      </c>
      <c r="C20" s="10" t="inlineStr">
        <is>
          <t>PRIVATE</t>
        </is>
      </c>
      <c r="D20" s="4" t="inlineStr">
        <is>
          <t>Study notes. Ignored by Git, never published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6"/>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2" t="inlineStr">
        <is>
          <t>Green = pest attacks this crop. Number = source on the References sheet. Blank = not verified.</t>
        </is>
      </c>
    </row>
    <row r="3" ht="58" customHeight="1">
      <c r="A3" s="5" t="inlineStr">
        <is>
          <t>Pest</t>
        </is>
      </c>
      <c r="B3" s="5" t="inlineStr">
        <is>
          <t>Tomato</t>
        </is>
      </c>
      <c r="C3" s="5" t="inlineStr">
        <is>
          <t>Cabbage</t>
        </is>
      </c>
      <c r="D3" s="5" t="inlineStr">
        <is>
          <t>Potato</t>
        </is>
      </c>
      <c r="E3" s="5" t="inlineStr">
        <is>
          <t>Lettuce</t>
        </is>
      </c>
      <c r="F3" s="5" t="inlineStr">
        <is>
          <t>Pepper</t>
        </is>
      </c>
      <c r="G3" s="5" t="inlineStr">
        <is>
          <t>Cucumber</t>
        </is>
      </c>
      <c r="H3" s="5" t="inlineStr">
        <is>
          <t>Strawberry</t>
        </is>
      </c>
      <c r="I3" s="5" t="inlineStr">
        <is>
          <t>Spinach</t>
        </is>
      </c>
      <c r="J3" s="5" t="inlineStr">
        <is>
          <t>Count</t>
        </is>
      </c>
    </row>
    <row r="4">
      <c r="A4" s="11" t="inlineStr">
        <is>
          <t>Aphids
(Aphidoidea)</t>
        </is>
      </c>
      <c r="B4" s="8" t="inlineStr">
        <is>
          <t>1</t>
        </is>
      </c>
      <c r="C4" s="10" t="n"/>
      <c r="D4" s="10" t="n"/>
      <c r="E4" s="8" t="inlineStr">
        <is>
          <t>16</t>
        </is>
      </c>
      <c r="F4" s="8" t="inlineStr">
        <is>
          <t>17</t>
        </is>
      </c>
      <c r="G4" s="8" t="inlineStr">
        <is>
          <t>1</t>
        </is>
      </c>
      <c r="H4" s="8" t="inlineStr">
        <is>
          <t>19, 12</t>
        </is>
      </c>
      <c r="I4" s="10" t="n"/>
      <c r="J4" s="10">
        <f>COUNTA(B4:I4)</f>
        <v/>
      </c>
    </row>
    <row r="5">
      <c r="A5" s="11" t="inlineStr">
        <is>
          <t>Mealy Cabbage Aphid
(Brevicoryne brassicae)</t>
        </is>
      </c>
      <c r="B5" s="10" t="n"/>
      <c r="C5" s="8" t="inlineStr">
        <is>
          <t>2, 14</t>
        </is>
      </c>
      <c r="D5" s="10" t="n"/>
      <c r="E5" s="10" t="n"/>
      <c r="F5" s="10" t="n"/>
      <c r="G5" s="10" t="n"/>
      <c r="H5" s="10" t="n"/>
      <c r="I5" s="10" t="n"/>
      <c r="J5" s="10">
        <f>COUNTA(B5:I5)</f>
        <v/>
      </c>
    </row>
    <row r="6">
      <c r="A6" s="11" t="inlineStr">
        <is>
          <t>Glasshouse Whitefly
(Trialeurodes vaporariorum)</t>
        </is>
      </c>
      <c r="B6" s="8" t="inlineStr">
        <is>
          <t>3, 13</t>
        </is>
      </c>
      <c r="C6" s="10" t="n"/>
      <c r="D6" s="10" t="n"/>
      <c r="E6" s="10" t="n"/>
      <c r="F6" s="8" t="inlineStr">
        <is>
          <t>3, 17</t>
        </is>
      </c>
      <c r="G6" s="8" t="inlineStr">
        <is>
          <t>3, 18</t>
        </is>
      </c>
      <c r="H6" s="10" t="n"/>
      <c r="I6" s="10" t="n"/>
      <c r="J6" s="10">
        <f>COUNTA(B6:I6)</f>
        <v/>
      </c>
    </row>
    <row r="7">
      <c r="A7" s="11" t="inlineStr">
        <is>
          <t>Cabbage Caterpillars
(Pieris brassicae, P. rapae, P. napi, M)</t>
        </is>
      </c>
      <c r="B7" s="10" t="n"/>
      <c r="C7" s="8" t="inlineStr">
        <is>
          <t>4, 14</t>
        </is>
      </c>
      <c r="D7" s="10" t="n"/>
      <c r="E7" s="10" t="n"/>
      <c r="F7" s="10" t="n"/>
      <c r="G7" s="10" t="n"/>
      <c r="H7" s="10" t="n"/>
      <c r="I7" s="10" t="n"/>
      <c r="J7" s="10">
        <f>COUNTA(B7:I7)</f>
        <v/>
      </c>
    </row>
    <row r="8">
      <c r="A8" s="11" t="inlineStr">
        <is>
          <t>Cabbage Root Fly
(Delia radicum)</t>
        </is>
      </c>
      <c r="B8" s="10" t="n"/>
      <c r="C8" s="8" t="inlineStr">
        <is>
          <t>5, 14</t>
        </is>
      </c>
      <c r="D8" s="10" t="n"/>
      <c r="E8" s="10" t="n"/>
      <c r="F8" s="10" t="n"/>
      <c r="G8" s="10" t="n"/>
      <c r="H8" s="10" t="n"/>
      <c r="I8" s="10" t="n"/>
      <c r="J8" s="10">
        <f>COUNTA(B8:I8)</f>
        <v/>
      </c>
    </row>
    <row r="9">
      <c r="A9" s="11" t="inlineStr">
        <is>
          <t>Red Spider Mite
(Tetranychus urticae)</t>
        </is>
      </c>
      <c r="B9" s="8" t="inlineStr">
        <is>
          <t>6</t>
        </is>
      </c>
      <c r="C9" s="10" t="n"/>
      <c r="D9" s="10" t="n"/>
      <c r="E9" s="10" t="n"/>
      <c r="F9" s="8" t="inlineStr">
        <is>
          <t>6, 17</t>
        </is>
      </c>
      <c r="G9" s="8" t="inlineStr">
        <is>
          <t>6, 18</t>
        </is>
      </c>
      <c r="H9" s="10" t="n"/>
      <c r="I9" s="10" t="n"/>
      <c r="J9" s="10">
        <f>COUNTA(B9:I9)</f>
        <v/>
      </c>
    </row>
    <row r="10">
      <c r="A10" s="11" t="inlineStr">
        <is>
          <t>Thrips
(Thysanoptera)</t>
        </is>
      </c>
      <c r="B10" s="8" t="inlineStr">
        <is>
          <t>7</t>
        </is>
      </c>
      <c r="C10" s="10" t="n"/>
      <c r="D10" s="10" t="n"/>
      <c r="E10" s="10" t="n"/>
      <c r="F10" s="10" t="n"/>
      <c r="G10" s="8" t="inlineStr">
        <is>
          <t>7</t>
        </is>
      </c>
      <c r="H10" s="10" t="n"/>
      <c r="I10" s="10" t="n"/>
      <c r="J10" s="10">
        <f>COUNTA(B10:I10)</f>
        <v/>
      </c>
    </row>
    <row r="11">
      <c r="A11" s="11" t="inlineStr">
        <is>
          <t>Slugs and Snails
(Arion, Cornu, Deroceras, Limacus)</t>
        </is>
      </c>
      <c r="B11" s="10" t="n"/>
      <c r="C11" s="8" t="inlineStr">
        <is>
          <t>14</t>
        </is>
      </c>
      <c r="D11" s="8" t="inlineStr">
        <is>
          <t>8, 15</t>
        </is>
      </c>
      <c r="E11" s="8" t="inlineStr">
        <is>
          <t>8, 16</t>
        </is>
      </c>
      <c r="F11" s="10" t="n"/>
      <c r="G11" s="8" t="inlineStr">
        <is>
          <t>18</t>
        </is>
      </c>
      <c r="H11" s="8" t="inlineStr">
        <is>
          <t>19</t>
        </is>
      </c>
      <c r="I11" s="8" t="inlineStr">
        <is>
          <t>20</t>
        </is>
      </c>
      <c r="J11" s="10">
        <f>COUNTA(B11:I11)</f>
        <v/>
      </c>
    </row>
    <row r="12">
      <c r="A12" s="11" t="inlineStr">
        <is>
          <t>Wireworms
(Agriotes)</t>
        </is>
      </c>
      <c r="B12" s="10" t="n"/>
      <c r="C12" s="10" t="n"/>
      <c r="D12" s="8" t="inlineStr">
        <is>
          <t>9, 15</t>
        </is>
      </c>
      <c r="E12" s="10" t="n"/>
      <c r="F12" s="10" t="n"/>
      <c r="G12" s="10" t="n"/>
      <c r="H12" s="10" t="n"/>
      <c r="I12" s="10" t="n"/>
      <c r="J12" s="10">
        <f>COUNTA(B12:I12)</f>
        <v/>
      </c>
    </row>
    <row r="13">
      <c r="A13" s="11" t="inlineStr">
        <is>
          <t>Potato Cyst Nematodes
(Globodera rostochiensis and G. pallida)</t>
        </is>
      </c>
      <c r="B13" s="8" t="inlineStr">
        <is>
          <t>10</t>
        </is>
      </c>
      <c r="C13" s="10" t="n"/>
      <c r="D13" s="8" t="inlineStr">
        <is>
          <t>10, 15</t>
        </is>
      </c>
      <c r="E13" s="10" t="n"/>
      <c r="F13" s="10" t="n"/>
      <c r="G13" s="10" t="n"/>
      <c r="H13" s="10" t="n"/>
      <c r="I13" s="10" t="n"/>
      <c r="J13" s="10">
        <f>COUNTA(B13:I13)</f>
        <v/>
      </c>
    </row>
    <row r="14">
      <c r="A14" s="11" t="inlineStr">
        <is>
          <t>Vine Weevil
(Otiorhynchus sulcatus)</t>
        </is>
      </c>
      <c r="B14" s="10" t="n"/>
      <c r="C14" s="10" t="n"/>
      <c r="D14" s="10" t="n"/>
      <c r="E14" s="10" t="n"/>
      <c r="F14" s="10" t="n"/>
      <c r="G14" s="10" t="n"/>
      <c r="H14" s="8" t="inlineStr">
        <is>
          <t>11, 19</t>
        </is>
      </c>
      <c r="I14" s="10" t="n"/>
      <c r="J14" s="10">
        <f>COUNTA(B14:I14)</f>
        <v/>
      </c>
    </row>
    <row r="15">
      <c r="A15" s="11" t="inlineStr">
        <is>
          <t>Cutworms
(Agrotis segetum)</t>
        </is>
      </c>
      <c r="B15" s="10" t="n"/>
      <c r="C15" s="10" t="n"/>
      <c r="D15" s="8" t="inlineStr">
        <is>
          <t>21, 15</t>
        </is>
      </c>
      <c r="E15" s="8" t="inlineStr">
        <is>
          <t>21, 16</t>
        </is>
      </c>
      <c r="F15" s="10" t="n"/>
      <c r="G15" s="10" t="n"/>
      <c r="H15" s="10" t="n"/>
      <c r="I15" s="10" t="n"/>
      <c r="J15" s="10">
        <f>COUNTA(B15:I15)</f>
        <v/>
      </c>
    </row>
    <row r="16">
      <c r="A16" s="11" t="inlineStr">
        <is>
          <t>Count</t>
        </is>
      </c>
      <c r="B16" s="12">
        <f>COUNTA(B4:B15)</f>
        <v/>
      </c>
      <c r="C16" s="12">
        <f>COUNTA(C4:C15)</f>
        <v/>
      </c>
      <c r="D16" s="12">
        <f>COUNTA(D4:D15)</f>
        <v/>
      </c>
      <c r="E16" s="12">
        <f>COUNTA(E4:E15)</f>
        <v/>
      </c>
      <c r="F16" s="12">
        <f>COUNTA(F4:F15)</f>
        <v/>
      </c>
      <c r="G16" s="12">
        <f>COUNTA(G4:G15)</f>
        <v/>
      </c>
      <c r="H16" s="12">
        <f>COUNTA(H4:H15)</f>
        <v/>
      </c>
      <c r="I16" s="12">
        <f>COUNTA(I4:I15)</f>
        <v/>
      </c>
      <c r="J16" s="1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6"/>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c r="A1" s="2" t="inlineStr">
        <is>
          <t>Green = pest causes this symptom. Number = source on the References sheet. Blank = not verified.</t>
        </is>
      </c>
    </row>
    <row r="3" ht="58" customHeight="1">
      <c r="A3" s="5" t="inlineStr">
        <is>
          <t>Pest</t>
        </is>
      </c>
      <c r="B3" s="5" t="inlineStr">
        <is>
          <t>Holes in leaves</t>
        </is>
      </c>
      <c r="C3" s="5" t="inlineStr">
        <is>
          <t>Small insects on leaves</t>
        </is>
      </c>
      <c r="D3" s="5" t="inlineStr">
        <is>
          <t>Caterpillars on leaves</t>
        </is>
      </c>
      <c r="E3" s="5" t="inlineStr">
        <is>
          <t>Sticky residue</t>
        </is>
      </c>
      <c r="F3" s="5" t="inlineStr">
        <is>
          <t>Black sooty mould</t>
        </is>
      </c>
      <c r="G3" s="5" t="inlineStr">
        <is>
          <t>Curled or distorted leaves</t>
        </is>
      </c>
      <c r="H3" s="5" t="inlineStr">
        <is>
          <t>Yellowing leaves</t>
        </is>
      </c>
      <c r="I3" s="5" t="inlineStr">
        <is>
          <t>Mottled leaves</t>
        </is>
      </c>
      <c r="J3" s="5" t="inlineStr">
        <is>
          <t>Silvery patches</t>
        </is>
      </c>
      <c r="K3" s="5" t="inlineStr">
        <is>
          <t>Fine webbing</t>
        </is>
      </c>
      <c r="L3" s="5" t="inlineStr">
        <is>
          <t>Stunted growth</t>
        </is>
      </c>
      <c r="M3" s="5" t="inlineStr">
        <is>
          <t>Wilting</t>
        </is>
      </c>
      <c r="N3" s="5" t="inlineStr">
        <is>
          <t>Tunnelled roots or tubers</t>
        </is>
      </c>
      <c r="O3" s="5" t="inlineStr">
        <is>
          <t>Notched leaf edges</t>
        </is>
      </c>
      <c r="P3" s="5" t="inlineStr">
        <is>
          <t>Slime trails</t>
        </is>
      </c>
      <c r="Q3" s="5" t="inlineStr">
        <is>
          <t>Stems cut at soil level</t>
        </is>
      </c>
      <c r="R3" s="5" t="inlineStr">
        <is>
          <t>Count</t>
        </is>
      </c>
    </row>
    <row r="4">
      <c r="A4" s="11" t="inlineStr">
        <is>
          <t>Aphids
(Aphidoidea)</t>
        </is>
      </c>
      <c r="B4" s="10" t="n"/>
      <c r="C4" s="8" t="inlineStr">
        <is>
          <t>1</t>
        </is>
      </c>
      <c r="D4" s="10" t="n"/>
      <c r="E4" s="8" t="inlineStr">
        <is>
          <t>1</t>
        </is>
      </c>
      <c r="F4" s="10" t="n"/>
      <c r="G4" s="8" t="inlineStr">
        <is>
          <t>1</t>
        </is>
      </c>
      <c r="H4" s="10" t="n"/>
      <c r="I4" s="10" t="n"/>
      <c r="J4" s="10" t="n"/>
      <c r="K4" s="10" t="n"/>
      <c r="L4" s="8" t="inlineStr">
        <is>
          <t>1</t>
        </is>
      </c>
      <c r="M4" s="10" t="n"/>
      <c r="N4" s="10" t="n"/>
      <c r="O4" s="10" t="n"/>
      <c r="P4" s="10" t="n"/>
      <c r="Q4" s="10" t="n"/>
      <c r="R4" s="10">
        <f>COUNTA(B4:Q4)</f>
        <v/>
      </c>
    </row>
    <row r="5">
      <c r="A5" s="11" t="inlineStr">
        <is>
          <t>Mealy Cabbage Aphid
(Brevicoryne brassicae)</t>
        </is>
      </c>
      <c r="B5" s="10" t="n"/>
      <c r="C5" s="8" t="inlineStr">
        <is>
          <t>2</t>
        </is>
      </c>
      <c r="D5" s="10" t="n"/>
      <c r="E5" s="10" t="n"/>
      <c r="F5" s="10" t="n"/>
      <c r="G5" s="8" t="inlineStr">
        <is>
          <t>2</t>
        </is>
      </c>
      <c r="H5" s="8" t="inlineStr">
        <is>
          <t>2</t>
        </is>
      </c>
      <c r="I5" s="10" t="n"/>
      <c r="J5" s="10" t="n"/>
      <c r="K5" s="10" t="n"/>
      <c r="L5" s="10" t="n"/>
      <c r="M5" s="10" t="n"/>
      <c r="N5" s="10" t="n"/>
      <c r="O5" s="10" t="n"/>
      <c r="P5" s="10" t="n"/>
      <c r="Q5" s="10" t="n"/>
      <c r="R5" s="10">
        <f>COUNTA(B5:Q5)</f>
        <v/>
      </c>
    </row>
    <row r="6">
      <c r="A6" s="11" t="inlineStr">
        <is>
          <t>Glasshouse Whitefly
(Trialeurodes vaporariorum)</t>
        </is>
      </c>
      <c r="B6" s="10" t="n"/>
      <c r="C6" s="8" t="inlineStr">
        <is>
          <t>3</t>
        </is>
      </c>
      <c r="D6" s="10" t="n"/>
      <c r="E6" s="8" t="inlineStr">
        <is>
          <t>3</t>
        </is>
      </c>
      <c r="F6" s="8" t="inlineStr">
        <is>
          <t>3</t>
        </is>
      </c>
      <c r="G6" s="10" t="n"/>
      <c r="H6" s="10" t="n"/>
      <c r="I6" s="10" t="n"/>
      <c r="J6" s="10" t="n"/>
      <c r="K6" s="10" t="n"/>
      <c r="L6" s="10" t="n"/>
      <c r="M6" s="10" t="n"/>
      <c r="N6" s="10" t="n"/>
      <c r="O6" s="10" t="n"/>
      <c r="P6" s="10" t="n"/>
      <c r="Q6" s="10" t="n"/>
      <c r="R6" s="10">
        <f>COUNTA(B6:Q6)</f>
        <v/>
      </c>
    </row>
    <row r="7">
      <c r="A7" s="11" t="inlineStr">
        <is>
          <t>Cabbage Caterpillars
(Pieris brassicae, P. rapae, P. napi, M)</t>
        </is>
      </c>
      <c r="B7" s="8" t="inlineStr">
        <is>
          <t>4</t>
        </is>
      </c>
      <c r="C7" s="10" t="n"/>
      <c r="D7" s="8" t="inlineStr">
        <is>
          <t>4</t>
        </is>
      </c>
      <c r="E7" s="10" t="n"/>
      <c r="F7" s="10" t="n"/>
      <c r="G7" s="10" t="n"/>
      <c r="H7" s="10" t="n"/>
      <c r="I7" s="10" t="n"/>
      <c r="J7" s="10" t="n"/>
      <c r="K7" s="10" t="n"/>
      <c r="L7" s="10" t="n"/>
      <c r="M7" s="10" t="n"/>
      <c r="N7" s="10" t="n"/>
      <c r="O7" s="10" t="n"/>
      <c r="P7" s="10" t="n"/>
      <c r="Q7" s="10" t="n"/>
      <c r="R7" s="10">
        <f>COUNTA(B7:Q7)</f>
        <v/>
      </c>
    </row>
    <row r="8">
      <c r="A8" s="11" t="inlineStr">
        <is>
          <t>Cabbage Root Fly
(Delia radicum)</t>
        </is>
      </c>
      <c r="B8" s="10" t="n"/>
      <c r="C8" s="10" t="n"/>
      <c r="D8" s="10" t="n"/>
      <c r="E8" s="10" t="n"/>
      <c r="F8" s="10" t="n"/>
      <c r="G8" s="10" t="n"/>
      <c r="H8" s="10" t="n"/>
      <c r="I8" s="10" t="n"/>
      <c r="J8" s="10" t="n"/>
      <c r="K8" s="10" t="n"/>
      <c r="L8" s="8" t="inlineStr">
        <is>
          <t>5</t>
        </is>
      </c>
      <c r="M8" s="8" t="inlineStr">
        <is>
          <t>5</t>
        </is>
      </c>
      <c r="N8" s="8" t="inlineStr">
        <is>
          <t>5</t>
        </is>
      </c>
      <c r="O8" s="10" t="n"/>
      <c r="P8" s="10" t="n"/>
      <c r="Q8" s="10" t="n"/>
      <c r="R8" s="10">
        <f>COUNTA(B8:Q8)</f>
        <v/>
      </c>
    </row>
    <row r="9">
      <c r="A9" s="11" t="inlineStr">
        <is>
          <t>Red Spider Mite
(Tetranychus urticae)</t>
        </is>
      </c>
      <c r="B9" s="10" t="n"/>
      <c r="C9" s="10" t="n"/>
      <c r="D9" s="10" t="n"/>
      <c r="E9" s="10" t="n"/>
      <c r="F9" s="10" t="n"/>
      <c r="G9" s="10" t="n"/>
      <c r="H9" s="10" t="n"/>
      <c r="I9" s="8" t="inlineStr">
        <is>
          <t>6</t>
        </is>
      </c>
      <c r="J9" s="10" t="n"/>
      <c r="K9" s="8" t="inlineStr">
        <is>
          <t>6</t>
        </is>
      </c>
      <c r="L9" s="10" t="n"/>
      <c r="M9" s="10" t="n"/>
      <c r="N9" s="10" t="n"/>
      <c r="O9" s="10" t="n"/>
      <c r="P9" s="10" t="n"/>
      <c r="Q9" s="10" t="n"/>
      <c r="R9" s="10">
        <f>COUNTA(B9:Q9)</f>
        <v/>
      </c>
    </row>
    <row r="10">
      <c r="A10" s="11" t="inlineStr">
        <is>
          <t>Thrips
(Thysanoptera)</t>
        </is>
      </c>
      <c r="B10" s="10" t="n"/>
      <c r="C10" s="10" t="n"/>
      <c r="D10" s="10" t="n"/>
      <c r="E10" s="10" t="n"/>
      <c r="F10" s="10" t="n"/>
      <c r="G10" s="8" t="inlineStr">
        <is>
          <t>7</t>
        </is>
      </c>
      <c r="H10" s="10" t="n"/>
      <c r="I10" s="8" t="inlineStr">
        <is>
          <t>7</t>
        </is>
      </c>
      <c r="J10" s="8" t="inlineStr">
        <is>
          <t>7</t>
        </is>
      </c>
      <c r="K10" s="10" t="n"/>
      <c r="L10" s="8" t="inlineStr">
        <is>
          <t>7</t>
        </is>
      </c>
      <c r="M10" s="10" t="n"/>
      <c r="N10" s="10" t="n"/>
      <c r="O10" s="10" t="n"/>
      <c r="P10" s="10" t="n"/>
      <c r="Q10" s="10" t="n"/>
      <c r="R10" s="10">
        <f>COUNTA(B10:Q10)</f>
        <v/>
      </c>
    </row>
    <row r="11">
      <c r="A11" s="11" t="inlineStr">
        <is>
          <t>Slugs and Snails
(Arion, Cornu, Deroceras, Limacus)</t>
        </is>
      </c>
      <c r="B11" s="8" t="inlineStr">
        <is>
          <t>8</t>
        </is>
      </c>
      <c r="C11" s="10" t="n"/>
      <c r="D11" s="10" t="n"/>
      <c r="E11" s="10" t="n"/>
      <c r="F11" s="10" t="n"/>
      <c r="G11" s="10" t="n"/>
      <c r="H11" s="10" t="n"/>
      <c r="I11" s="10" t="n"/>
      <c r="J11" s="10" t="n"/>
      <c r="K11" s="10" t="n"/>
      <c r="L11" s="10" t="n"/>
      <c r="M11" s="10" t="n"/>
      <c r="N11" s="8" t="inlineStr">
        <is>
          <t>8</t>
        </is>
      </c>
      <c r="O11" s="10" t="n"/>
      <c r="P11" s="8" t="inlineStr">
        <is>
          <t>8</t>
        </is>
      </c>
      <c r="Q11" s="10" t="n"/>
      <c r="R11" s="10">
        <f>COUNTA(B11:Q11)</f>
        <v/>
      </c>
    </row>
    <row r="12">
      <c r="A12" s="11" t="inlineStr">
        <is>
          <t>Wireworms
(Agriotes)</t>
        </is>
      </c>
      <c r="B12" s="10" t="n"/>
      <c r="C12" s="10" t="n"/>
      <c r="D12" s="10" t="n"/>
      <c r="E12" s="10" t="n"/>
      <c r="F12" s="10" t="n"/>
      <c r="G12" s="10" t="n"/>
      <c r="H12" s="10" t="n"/>
      <c r="I12" s="10" t="n"/>
      <c r="J12" s="10" t="n"/>
      <c r="K12" s="10" t="n"/>
      <c r="L12" s="10" t="n"/>
      <c r="M12" s="10" t="n"/>
      <c r="N12" s="8" t="inlineStr">
        <is>
          <t>9</t>
        </is>
      </c>
      <c r="O12" s="10" t="n"/>
      <c r="P12" s="10" t="n"/>
      <c r="Q12" s="10" t="n"/>
      <c r="R12" s="10">
        <f>COUNTA(B12:Q12)</f>
        <v/>
      </c>
    </row>
    <row r="13">
      <c r="A13" s="11" t="inlineStr">
        <is>
          <t>Potato Cyst Nematodes
(Globodera rostochiensis and G. pallida)</t>
        </is>
      </c>
      <c r="B13" s="10" t="n"/>
      <c r="C13" s="10" t="n"/>
      <c r="D13" s="10" t="n"/>
      <c r="E13" s="10" t="n"/>
      <c r="F13" s="10" t="n"/>
      <c r="G13" s="10" t="n"/>
      <c r="H13" s="8" t="inlineStr">
        <is>
          <t>10</t>
        </is>
      </c>
      <c r="I13" s="10" t="n"/>
      <c r="J13" s="10" t="n"/>
      <c r="K13" s="10" t="n"/>
      <c r="L13" s="10" t="n"/>
      <c r="M13" s="8" t="inlineStr">
        <is>
          <t>10</t>
        </is>
      </c>
      <c r="N13" s="10" t="n"/>
      <c r="O13" s="10" t="n"/>
      <c r="P13" s="10" t="n"/>
      <c r="Q13" s="10" t="n"/>
      <c r="R13" s="10">
        <f>COUNTA(B13:Q13)</f>
        <v/>
      </c>
    </row>
    <row r="14">
      <c r="A14" s="11" t="inlineStr">
        <is>
          <t>Vine Weevil
(Otiorhynchus sulcatus)</t>
        </is>
      </c>
      <c r="B14" s="10" t="n"/>
      <c r="C14" s="10" t="n"/>
      <c r="D14" s="10" t="n"/>
      <c r="E14" s="10" t="n"/>
      <c r="F14" s="10" t="n"/>
      <c r="G14" s="10" t="n"/>
      <c r="H14" s="10" t="n"/>
      <c r="I14" s="10" t="n"/>
      <c r="J14" s="10" t="n"/>
      <c r="K14" s="10" t="n"/>
      <c r="L14" s="10" t="n"/>
      <c r="M14" s="8" t="inlineStr">
        <is>
          <t>11</t>
        </is>
      </c>
      <c r="N14" s="10" t="n"/>
      <c r="O14" s="8" t="inlineStr">
        <is>
          <t>11</t>
        </is>
      </c>
      <c r="P14" s="10" t="n"/>
      <c r="Q14" s="10" t="n"/>
      <c r="R14" s="10">
        <f>COUNTA(B14:Q14)</f>
        <v/>
      </c>
    </row>
    <row r="15">
      <c r="A15" s="11" t="inlineStr">
        <is>
          <t>Cutworms
(Agrotis segetum)</t>
        </is>
      </c>
      <c r="B15" s="10" t="n"/>
      <c r="C15" s="10" t="n"/>
      <c r="D15" s="10" t="n"/>
      <c r="E15" s="10" t="n"/>
      <c r="F15" s="10" t="n"/>
      <c r="G15" s="10" t="n"/>
      <c r="H15" s="10" t="n"/>
      <c r="I15" s="10" t="n"/>
      <c r="J15" s="10" t="n"/>
      <c r="K15" s="10" t="n"/>
      <c r="L15" s="10" t="n"/>
      <c r="M15" s="8" t="inlineStr">
        <is>
          <t>21</t>
        </is>
      </c>
      <c r="N15" s="10" t="n"/>
      <c r="O15" s="10" t="n"/>
      <c r="P15" s="10" t="n"/>
      <c r="Q15" s="8" t="inlineStr">
        <is>
          <t>21</t>
        </is>
      </c>
      <c r="R15" s="10">
        <f>COUNTA(B15:Q15)</f>
        <v/>
      </c>
    </row>
    <row r="16">
      <c r="A16" s="11" t="inlineStr">
        <is>
          <t>Count</t>
        </is>
      </c>
      <c r="B16" s="12">
        <f>COUNTA(B4:B15)</f>
        <v/>
      </c>
      <c r="C16" s="12">
        <f>COUNTA(C4:C15)</f>
        <v/>
      </c>
      <c r="D16" s="12">
        <f>COUNTA(D4:D15)</f>
        <v/>
      </c>
      <c r="E16" s="12">
        <f>COUNTA(E4:E15)</f>
        <v/>
      </c>
      <c r="F16" s="12">
        <f>COUNTA(F4:F15)</f>
        <v/>
      </c>
      <c r="G16" s="12">
        <f>COUNTA(G4:G15)</f>
        <v/>
      </c>
      <c r="H16" s="12">
        <f>COUNTA(H4:H15)</f>
        <v/>
      </c>
      <c r="I16" s="12">
        <f>COUNTA(I4:I15)</f>
        <v/>
      </c>
      <c r="J16" s="12">
        <f>COUNTA(J4:J15)</f>
        <v/>
      </c>
      <c r="K16" s="12">
        <f>COUNTA(K4:K15)</f>
        <v/>
      </c>
      <c r="L16" s="12">
        <f>COUNTA(L4:L15)</f>
        <v/>
      </c>
      <c r="M16" s="12">
        <f>COUNTA(M4:M15)</f>
        <v/>
      </c>
      <c r="N16" s="12">
        <f>COUNTA(N4:N15)</f>
        <v/>
      </c>
      <c r="O16" s="12">
        <f>COUNTA(O4:O15)</f>
        <v/>
      </c>
      <c r="P16" s="12">
        <f>COUNTA(P4:P15)</f>
        <v/>
      </c>
      <c r="Q16" s="12">
        <f>COUNTA(Q4:Q15)</f>
        <v/>
      </c>
      <c r="R16" s="1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5"/>
  <sheetViews>
    <sheetView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2" customWidth="1" min="2" max="2"/>
    <col width="34" customWidth="1" min="3" max="3"/>
    <col width="12" customWidth="1" min="4" max="4"/>
    <col width="30" customWidth="1" min="5" max="5"/>
    <col width="40" customWidth="1" min="6" max="6"/>
    <col width="10" customWidth="1" min="7" max="7"/>
    <col width="12" customWidth="1" min="8" max="8"/>
    <col width="26" customWidth="1" min="9" max="9"/>
    <col width="34" customWidth="1" min="10" max="10"/>
    <col width="55" customWidth="1" min="11" max="11"/>
    <col width="70" customWidth="1" min="12" max="12"/>
    <col width="34" customWidth="1" min="13" max="13"/>
  </cols>
  <sheetData>
    <row r="1">
      <c r="A1" s="1" t="inlineStr">
        <is>
          <t>Pests: everything the pest page shows</t>
        </is>
      </c>
    </row>
    <row r="3">
      <c r="A3" s="5" t="inlineStr">
        <is>
          <t>id</t>
        </is>
      </c>
      <c r="B3" s="5" t="inlineStr">
        <is>
          <t>Pest</t>
        </is>
      </c>
      <c r="C3" s="5" t="inlineStr">
        <is>
          <t>Scientific name</t>
        </is>
      </c>
      <c r="D3" s="5" t="inlineStr">
        <is>
          <t>Type</t>
        </is>
      </c>
      <c r="E3" s="5" t="inlineStr">
        <is>
          <t>Crops</t>
        </is>
      </c>
      <c r="F3" s="5" t="inlineStr">
        <is>
          <t>Symptoms</t>
        </is>
      </c>
      <c r="G3" s="5" t="inlineStr">
        <is>
          <t>No. of symptoms</t>
        </is>
      </c>
      <c r="H3" s="5" t="inlineStr">
        <is>
          <t>Can reach High?</t>
        </is>
      </c>
      <c r="I3" s="5" t="inlineStr">
        <is>
          <t>Size</t>
        </is>
      </c>
      <c r="J3" s="5" t="inlineStr">
        <is>
          <t>Colour</t>
        </is>
      </c>
      <c r="K3" s="5" t="inlineStr">
        <is>
          <t>Summary</t>
        </is>
      </c>
      <c r="L3" s="5" t="inlineStr">
        <is>
          <t>Management and prevention</t>
        </is>
      </c>
      <c r="M3" s="5" t="inlineStr">
        <is>
          <t>Sources</t>
        </is>
      </c>
    </row>
    <row r="4">
      <c r="A4" s="4" t="inlineStr">
        <is>
          <t>aphids</t>
        </is>
      </c>
      <c r="B4" s="4" t="inlineStr">
        <is>
          <t>Aphids</t>
        </is>
      </c>
      <c r="C4" s="4" t="inlineStr">
        <is>
          <t>Aphidoidea (superfamily of true bugs, Hemiptera)</t>
        </is>
      </c>
      <c r="D4" s="4" t="inlineStr">
        <is>
          <t>Insect</t>
        </is>
      </c>
      <c r="E4" s="4" t="inlineStr">
        <is>
          <t>Tomato, Cucumber, Pepper, Lettuce, Strawberry</t>
        </is>
      </c>
      <c r="F4" s="4" t="inlineStr">
        <is>
          <t>Small insects on leaves, Sticky residue, Curled or distorted leaves, Stunted growth</t>
        </is>
      </c>
      <c r="G4" s="10">
        <f>COUNTA('Pest x Symptom'!B4:Q4)</f>
        <v/>
      </c>
      <c r="H4" s="10">
        <f>IF(G4&gt;=3,"Yes","No (needs 3+)")</f>
        <v/>
      </c>
      <c r="I4" s="4" t="inlineStr">
        <is>
          <t>1 to 7 mm long</t>
        </is>
      </c>
      <c r="J4" s="4" t="inlineStr">
        <is>
          <t>Varies by species: green (greenfly), black (blackfly), yellow, pink, white or mottled</t>
        </is>
      </c>
      <c r="K4" s="4" t="inlineStr">
        <is>
          <t>Small sap-sucking insects that many predators eat. They can stunt plants and curl or distort new growth, spread plant viruses, and leave sticky honeydew on which black sooty mould grows.</t>
        </is>
      </c>
      <c r="L4" s="4" t="inlineStr">
        <is>
          <t>- Tolerate aphids where possible, as predators often bring them under control
- Check plants frequently so you can act before damage develops
- Squash small colonies with finger and thumb
- Encourage natural enemies of aphids in the garden
- Wipe honeydew and sooty mould off with a damp cloth</t>
        </is>
      </c>
      <c r="M4" s="4" t="inlineStr">
        <is>
          <t>RHS: Aphids (ref 1); RHS: Fruit aphids (ref 12)</t>
        </is>
      </c>
    </row>
    <row r="5">
      <c r="A5" s="4" t="inlineStr">
        <is>
          <t>mealy-cabbage-aphid</t>
        </is>
      </c>
      <c r="B5" s="4" t="inlineStr">
        <is>
          <t>Mealy Cabbage Aphid</t>
        </is>
      </c>
      <c r="C5" s="4" t="inlineStr">
        <is>
          <t>Brevicoryne brassicae</t>
        </is>
      </c>
      <c r="D5" s="4" t="inlineStr">
        <is>
          <t>Insect</t>
        </is>
      </c>
      <c r="E5" s="4" t="inlineStr">
        <is>
          <t>Cabbage</t>
        </is>
      </c>
      <c r="F5" s="4" t="inlineStr">
        <is>
          <t>Small insects on leaves, Yellowing leaves, Curled or distorted leaves</t>
        </is>
      </c>
      <c r="G5" s="10">
        <f>COUNTA('Pest x Symptom'!B5:Q5)</f>
        <v/>
      </c>
      <c r="H5" s="10">
        <f>IF(G5&gt;=3,"Yes","No (needs 3+)")</f>
        <v/>
      </c>
      <c r="I5" s="4" t="inlineStr">
        <is>
          <t>Up to 2.5 mm long</t>
        </is>
      </c>
      <c r="J5" s="4" t="inlineStr">
        <is>
          <t>Greyish-white, with a whitish, "mealy" look</t>
        </is>
      </c>
      <c r="K5" s="4" t="inlineStr">
        <is>
          <t>A sap-sucking aphid that clusters on the undersides of leaves and the growing points of cabbages and other brassicas. On young plants it can distort leaves and kill the growing point.</t>
        </is>
      </c>
      <c r="L5" s="4" t="inlineStr">
        <is>
          <t>- Tolerate small populations where possible
- Check brassicas frequently from spring onwards
- Squash colonies with finger and thumb where practical
- Encourage aphid predators such as ladybirds, ground beetles, hoverflies, parasitoid wasps and earwigs
- Dispose of old brassica plants once they have finished cropping</t>
        </is>
      </c>
      <c r="M5" s="4" t="inlineStr">
        <is>
          <t>RHS: Mealy cabbage aphid (ref 2); RHS: How to grow cabbages (ref 14)</t>
        </is>
      </c>
    </row>
    <row r="6">
      <c r="A6" s="4" t="inlineStr">
        <is>
          <t>glasshouse-whitefly</t>
        </is>
      </c>
      <c r="B6" s="4" t="inlineStr">
        <is>
          <t>Glasshouse Whitefly</t>
        </is>
      </c>
      <c r="C6" s="4" t="inlineStr">
        <is>
          <t>Trialeurodes vaporariorum</t>
        </is>
      </c>
      <c r="D6" s="4" t="inlineStr">
        <is>
          <t>Insect</t>
        </is>
      </c>
      <c r="E6" s="4" t="inlineStr">
        <is>
          <t>Tomato, Cucumber, Pepper</t>
        </is>
      </c>
      <c r="F6" s="4" t="inlineStr">
        <is>
          <t>Small insects on leaves, Sticky residue, Black sooty mould</t>
        </is>
      </c>
      <c r="G6" s="10">
        <f>COUNTA('Pest x Symptom'!B6:Q6)</f>
        <v/>
      </c>
      <c r="H6" s="10">
        <f>IF(G6&gt;=3,"Yes","No (needs 3+)")</f>
        <v/>
      </c>
      <c r="I6" s="4" t="inlineStr">
        <is>
          <t>Adults about 1.5 mm long</t>
        </is>
      </c>
      <c r="J6" s="4" t="inlineStr">
        <is>
          <t>Adults are white. The young (nymphs) are flat, oval and creamy white to whitish-green</t>
        </is>
      </c>
      <c r="K6" s="4" t="inlineStr">
        <is>
          <t>A sap-sucking insect that breeds quickly in warm glasshouses. Clouds of small white insects fly up when the plant is disturbed. Its sticky honeydew lets black sooty mould grow.</t>
        </is>
      </c>
      <c r="L6" s="4" t="inlineStr">
        <is>
          <t>- Check new plants for whitefly and keep them apart for a while before mixing them in
- Remove unwanted plants from the glasshouse so there are fewer hosts
- Ventilate well to slow the growth of sooty mould
- Clean the glasshouse in winter to reduce overwintering whitefly
- Use the parasitic wasp Encarsia formosa early in the season
- Yellow sticky traps help you monitor, but do not give control</t>
        </is>
      </c>
      <c r="M6" s="4" t="inlineStr">
        <is>
          <t>RHS: Glasshouse whitefly (ref 3)</t>
        </is>
      </c>
    </row>
    <row r="7">
      <c r="A7" s="4" t="inlineStr">
        <is>
          <t>cabbage-caterpillars</t>
        </is>
      </c>
      <c r="B7" s="4" t="inlineStr">
        <is>
          <t>Cabbage Caterpillars</t>
        </is>
      </c>
      <c r="C7" s="4" t="inlineStr">
        <is>
          <t>Pieris brassicae, P. rapae, P. napi, Mamestra brassicae, Plutella xylostella</t>
        </is>
      </c>
      <c r="D7" s="4" t="inlineStr">
        <is>
          <t>Insect</t>
        </is>
      </c>
      <c r="E7" s="4" t="inlineStr">
        <is>
          <t>Cabbage</t>
        </is>
      </c>
      <c r="F7" s="4" t="inlineStr">
        <is>
          <t>Holes in leaves, Caterpillars on leaves</t>
        </is>
      </c>
      <c r="G7" s="10">
        <f>COUNTA('Pest x Symptom'!B7:Q7)</f>
        <v/>
      </c>
      <c r="H7" s="10">
        <f>IF(G7&gt;=3,"Yes","No (needs 3+)")</f>
        <v/>
      </c>
      <c r="I7" s="4" t="inlineStr">
        <is>
          <t>Varies by species. The diamond-back moth caterpillar is about 1 cm when fully grown</t>
        </is>
      </c>
      <c r="J7" s="4" t="inlineStr">
        <is>
          <t>Varies: large white yellow and black with hairs; small white pale green; cabbage moth yellowish or brownish green; diamond-back moth green</t>
        </is>
      </c>
      <c r="K7" s="4" t="inlineStr">
        <is>
          <t>The caterpillars of several butterflies and moths that eat cabbages and other brassicas, leaving holes in the leaves. Some bore into the cabbage heart.</t>
        </is>
      </c>
      <c r="L7" s="4" t="inlineStr">
        <is>
          <t>- Check plants frequently from spring onwards
- Tolerate some caterpillars where possible, as they feed many other creatures
- Grow brassicas under fine netting or horticultural fleece so the adults cannot lay eggs, and keep the netting off the leaves
- Pick off the pale yellow butterfly eggs and the caterpillars by hand</t>
        </is>
      </c>
      <c r="M7" s="4" t="inlineStr">
        <is>
          <t>RHS: Cabbage caterpillars (ref 4)</t>
        </is>
      </c>
    </row>
    <row r="8">
      <c r="A8" s="4" t="inlineStr">
        <is>
          <t>cabbage-root-fly</t>
        </is>
      </c>
      <c r="B8" s="4" t="inlineStr">
        <is>
          <t>Cabbage Root Fly</t>
        </is>
      </c>
      <c r="C8" s="4" t="inlineStr">
        <is>
          <t>Delia radicum</t>
        </is>
      </c>
      <c r="D8" s="4" t="inlineStr">
        <is>
          <t>Insect</t>
        </is>
      </c>
      <c r="E8" s="4" t="inlineStr">
        <is>
          <t>Cabbage</t>
        </is>
      </c>
      <c r="F8" s="4" t="inlineStr">
        <is>
          <t>Wilting, Stunted growth, Tunnelled roots or tubers</t>
        </is>
      </c>
      <c r="G8" s="10">
        <f>COUNTA('Pest x Symptom'!B8:Q8)</f>
        <v/>
      </c>
      <c r="H8" s="10">
        <f>IF(G8&gt;=3,"Yes","No (needs 3+)")</f>
        <v/>
      </c>
      <c r="I8" s="4" t="inlineStr">
        <is>
          <t>The fly looks like a house fly. The maggot is up to 9 mm long</t>
        </is>
      </c>
      <c r="J8" s="4" t="inlineStr">
        <is>
          <t>The maggot is white and has no legs</t>
        </is>
      </c>
      <c r="K8" s="4" t="inlineStr">
        <is>
          <t>The white maggots tunnel into the roots of cabbages and other brassicas. Young plants grow slowly, wilt and can die.</t>
        </is>
      </c>
      <c r="L8" s="4" t="inlineStr">
        <is>
          <t>- Protect new transplants with a collar so the fly cannot lay eggs by the stem
- Grow plants under insect-proof mesh or fleece
- Check plants frequently from spring onwards
- Practise crop rotation
- Encourage birds, hedgehogs and ground beetles</t>
        </is>
      </c>
      <c r="M8" s="4" t="inlineStr">
        <is>
          <t>RHS: Cabbage root fly (ref 5); RHS: How to grow cabbages (ref 14)</t>
        </is>
      </c>
    </row>
    <row r="9">
      <c r="A9" s="4" t="inlineStr">
        <is>
          <t>red-spider-mite</t>
        </is>
      </c>
      <c r="B9" s="4" t="inlineStr">
        <is>
          <t>Red Spider Mite</t>
        </is>
      </c>
      <c r="C9" s="4" t="inlineStr">
        <is>
          <t>Tetranychus urticae</t>
        </is>
      </c>
      <c r="D9" s="4" t="inlineStr">
        <is>
          <t>Mite</t>
        </is>
      </c>
      <c r="E9" s="4" t="inlineStr">
        <is>
          <t>Tomato, Cucumber, Pepper</t>
        </is>
      </c>
      <c r="F9" s="4" t="inlineStr">
        <is>
          <t>Mottled leaves, Fine webbing</t>
        </is>
      </c>
      <c r="G9" s="10">
        <f>COUNTA('Pest x Symptom'!B9:Q9)</f>
        <v/>
      </c>
      <c r="H9" s="10">
        <f>IF(G9&gt;=3,"Yes","No (needs 3+)")</f>
        <v/>
      </c>
      <c r="I9" s="4" t="inlineStr">
        <is>
          <t>Up to 1 mm long</t>
        </is>
      </c>
      <c r="J9" s="4" t="inlineStr">
        <is>
          <t>Yellowish-green with a pair of darker marks in spring and summer. Orange-red in autumn and winter</t>
        </is>
      </c>
      <c r="K9" s="4" t="inlineStr">
        <is>
          <t>A sap-feeding mite, also called the two-spotted spider mite. It mottles leaves, can cause early leaf loss, and in bad attacks spins fine silk webbing.</t>
        </is>
      </c>
      <c r="L9" s="4" t="inlineStr">
        <is>
          <t>- Regular water spraying and high humidity help, but will not control the mite on their own
- Remove badly affected plants from the glasshouse, especially in late summer
- Before spring, clear out plant debris, old canes, stakes and plant ties
- Clean the empty glasshouse thoroughly
- Keep weeds in and around the glasshouse under control
- Predatory mites and midges can be bought as biological control</t>
        </is>
      </c>
      <c r="M9" s="4" t="inlineStr">
        <is>
          <t>RHS: Glasshouse red spider mite (ref 6)</t>
        </is>
      </c>
    </row>
    <row r="10">
      <c r="A10" s="4" t="inlineStr">
        <is>
          <t>thrips</t>
        </is>
      </c>
      <c r="B10" s="4" t="inlineStr">
        <is>
          <t>Thrips</t>
        </is>
      </c>
      <c r="C10" s="4" t="inlineStr">
        <is>
          <t>Order Thysanoptera</t>
        </is>
      </c>
      <c r="D10" s="4" t="inlineStr">
        <is>
          <t>Insect</t>
        </is>
      </c>
      <c r="E10" s="4" t="inlineStr">
        <is>
          <t>Tomato, Cucumber</t>
        </is>
      </c>
      <c r="F10" s="4" t="inlineStr">
        <is>
          <t>Silvery patches, Mottled leaves, Curled or distorted leaves, Stunted growth</t>
        </is>
      </c>
      <c r="G10" s="10">
        <f>COUNTA('Pest x Symptom'!B10:Q10)</f>
        <v/>
      </c>
      <c r="H10" s="10">
        <f>IF(G10&gt;=3,"Yes","No (needs 3+)")</f>
        <v/>
      </c>
      <c r="I10" s="4" t="inlineStr">
        <is>
          <t>Adults up to 2 mm long</t>
        </is>
      </c>
      <c r="J10" s="4" t="inlineStr">
        <is>
          <t>Adults yellowish-brown to blackish-brown. Young thrips are creamy yellow</t>
        </is>
      </c>
      <c r="K10" s="4" t="inlineStr">
        <is>
          <t>Small, narrow insects that feed on sap from leaves and flowers. Damage shows as silvery-white patches and mottled leaves, and can distort shoot tips and buds.</t>
        </is>
      </c>
      <c r="L10" s="4" t="inlineStr">
        <is>
          <t>- Tolerate some damage. Outdoor plants usually survive it
- Encourage natural enemies in the garden, such as the predatory bug Orius laevigatus
- In glasshouses, biological controls are available and blue sticky traps can help
- Do not use sticky traps outdoors, because they catch many harmless insects</t>
        </is>
      </c>
      <c r="M10" s="4" t="inlineStr">
        <is>
          <t>RHS: Thrips (ref 7)</t>
        </is>
      </c>
    </row>
    <row r="11">
      <c r="A11" s="4" t="inlineStr">
        <is>
          <t>slugs-and-snails</t>
        </is>
      </c>
      <c r="B11" s="4" t="inlineStr">
        <is>
          <t>Slugs and Snails</t>
        </is>
      </c>
      <c r="C11" s="4" t="inlineStr">
        <is>
          <t>Genera Arion, Cornu, Deroceras, Limacus (class Gastropoda)</t>
        </is>
      </c>
      <c r="D11" s="4" t="inlineStr">
        <is>
          <t>Mollusc</t>
        </is>
      </c>
      <c r="E11" s="4" t="inlineStr">
        <is>
          <t>Lettuce, Spinach, Cucumber, Strawberry, Potato, Cabbage</t>
        </is>
      </c>
      <c r="F11" s="4" t="inlineStr">
        <is>
          <t>Holes in leaves, Slime trails, Tunnelled roots or tubers</t>
        </is>
      </c>
      <c r="G11" s="10">
        <f>COUNTA('Pest x Symptom'!B11:Q11)</f>
        <v/>
      </c>
      <c r="H11" s="10">
        <f>IF(G11&gt;=3,"Yes","No (needs 3+)")</f>
        <v/>
      </c>
      <c r="I11" s="4" t="inlineStr">
        <is>
          <t>To be confirmed (the RHS page does not give a size)</t>
        </is>
      </c>
      <c r="J11" s="4" t="inlineStr">
        <is>
          <t>To be confirmed. It varies by species; the RHS page shows the grey garden slug</t>
        </is>
      </c>
      <c r="K11" s="4" t="inlineStr">
        <is>
          <t>Gastropod molluscs common in UK gardens. Most eat dead plant material, but a few eat live plants. They feed at night and leave ragged holes in soft leaves and seedlings, slime trails, and holes tunnelled into potatoes.</t>
        </is>
      </c>
      <c r="L11" s="4" t="inlineStr">
        <is>
          <t>- Plant sturdy potted plantlets instead of tiny seedlings, and protect transplants with cloches
- Encourage birds, frogs, toads, hedgehogs, slow-worms and ground beetles
- Search by torchlight on mild, damp evenings and move them elsewhere
- Use traps such as upturned citrus skins or jars part-filled with beer, and empty them each morning
- Water in the early morning, not the evening
- An RHS study found copper tape and bark mulch did not reduce slug damage</t>
        </is>
      </c>
      <c r="M11" s="4" t="inlineStr">
        <is>
          <t>RHS: Slugs and snails (ref 8)</t>
        </is>
      </c>
    </row>
    <row r="12">
      <c r="A12" s="4" t="inlineStr">
        <is>
          <t>wireworms</t>
        </is>
      </c>
      <c r="B12" s="4" t="inlineStr">
        <is>
          <t>Wireworms</t>
        </is>
      </c>
      <c r="C12" s="4" t="inlineStr">
        <is>
          <t>Genus Agriotes (click beetle larvae)</t>
        </is>
      </c>
      <c r="D12" s="4" t="inlineStr">
        <is>
          <t>Insect</t>
        </is>
      </c>
      <c r="E12" s="4" t="inlineStr">
        <is>
          <t>Potato</t>
        </is>
      </c>
      <c r="F12" s="4" t="inlineStr">
        <is>
          <t>Tunnelled roots or tubers</t>
        </is>
      </c>
      <c r="G12" s="10">
        <f>COUNTA('Pest x Symptom'!B12:Q12)</f>
        <v/>
      </c>
      <c r="H12" s="10">
        <f>IF(G12&gt;=3,"Yes","No (needs 3+)")</f>
        <v/>
      </c>
      <c r="I12" s="4" t="inlineStr">
        <is>
          <t>Up to 25 mm long</t>
        </is>
      </c>
      <c r="J12" s="4" t="inlineStr">
        <is>
          <t>Thin and yellowish-brown, with three pairs of small legs at the head end</t>
        </is>
      </c>
      <c r="K12" s="4" t="inlineStr">
        <is>
          <t>The larvae of click beetles. They live in the soil and eat plant roots, and tunnel into potato tubers. Problems are most common when grass is turned into a vegetable bed.</t>
        </is>
      </c>
      <c r="L12" s="4" t="inlineStr">
        <is>
          <t>- Tolerate a few. Low numbers do not do much damage
- Digging exposes them to birds and other predators
- Encourage birds, wasps, hedgehogs and ground beetles
- Remove any wireworms you find in the soil
- A nematode (Heterorhabditis bacteriophora) is sold as biological control and may need repeating</t>
        </is>
      </c>
      <c r="M12" s="4" t="inlineStr">
        <is>
          <t>RHS: Wireworms (ref 9); RHS: How to grow potatoes (ref 15)</t>
        </is>
      </c>
    </row>
    <row r="13">
      <c r="A13" s="4" t="inlineStr">
        <is>
          <t>potato-cyst-nematodes</t>
        </is>
      </c>
      <c r="B13" s="4" t="inlineStr">
        <is>
          <t>Potato Cyst Nematodes</t>
        </is>
      </c>
      <c r="C13" s="4" t="inlineStr">
        <is>
          <t>Globodera rostochiensis and G. pallida</t>
        </is>
      </c>
      <c r="D13" s="4" t="inlineStr">
        <is>
          <t>Nematode</t>
        </is>
      </c>
      <c r="E13" s="4" t="inlineStr">
        <is>
          <t>Potato, Tomato</t>
        </is>
      </c>
      <c r="F13" s="4" t="inlineStr">
        <is>
          <t>Yellowing leaves, Wilting</t>
        </is>
      </c>
      <c r="G13" s="10">
        <f>COUNTA('Pest x Symptom'!B13:Q13)</f>
        <v/>
      </c>
      <c r="H13" s="10">
        <f>IF(G13&gt;=3,"Yes","No (needs 3+)")</f>
        <v/>
      </c>
      <c r="I13" s="4" t="inlineStr">
        <is>
          <t>Microscopic worms. The cysts they form on roots are under 1 mm across, about pin-head size</t>
        </is>
      </c>
      <c r="J13" s="4" t="inlineStr">
        <is>
          <t>Cysts are white, yellow or chestnut brown</t>
        </is>
      </c>
      <c r="K13" s="4" t="inlineStr">
        <is>
          <t>Microscopic worm-like pests that feed on the roots of potatoes and related plants such as tomatoes. Patches of the crop grow poorly, turn yellow and wilt, and heavily infested plants give small tubers.</t>
        </is>
      </c>
      <c r="L13" s="4" t="inlineStr">
        <is>
          <t>- Rotate crops. Allow at least 5 to 6 years between potatoes if you have a nematode problem
- Lift potatoes as soon as the tubers are ready
- Pull out self-set potatoes in early summer
- Choose resistant varieties, but still rotate
- Clean tools and shoes that have touched infested soil
- Never use soil from potato beds for greenhouse tomatoes</t>
        </is>
      </c>
      <c r="M13" s="4" t="inlineStr">
        <is>
          <t>RHS: Potato cyst nematodes (ref 10)</t>
        </is>
      </c>
    </row>
    <row r="14">
      <c r="A14" s="4" t="inlineStr">
        <is>
          <t>vine-weevil</t>
        </is>
      </c>
      <c r="B14" s="4" t="inlineStr">
        <is>
          <t>Vine Weevil</t>
        </is>
      </c>
      <c r="C14" s="4" t="inlineStr">
        <is>
          <t>Otiorhynchus sulcatus</t>
        </is>
      </c>
      <c r="D14" s="4" t="inlineStr">
        <is>
          <t>Insect</t>
        </is>
      </c>
      <c r="E14" s="4" t="inlineStr">
        <is>
          <t>Strawberry</t>
        </is>
      </c>
      <c r="F14" s="4" t="inlineStr">
        <is>
          <t>Notched leaf edges, Wilting</t>
        </is>
      </c>
      <c r="G14" s="10">
        <f>COUNTA('Pest x Symptom'!B14:Q14)</f>
        <v/>
      </c>
      <c r="H14" s="10">
        <f>IF(G14&gt;=3,"Yes","No (needs 3+)")</f>
        <v/>
      </c>
      <c r="I14" s="4" t="inlineStr">
        <is>
          <t>Adult about 9 mm long. Grub up to 10 mm long</t>
        </is>
      </c>
      <c r="J14" s="4" t="inlineStr">
        <is>
          <t>Adult is dull black with a dirty yellow mark on the wing cases. The grub is plump, white and C-shaped with a light brown head</t>
        </is>
      </c>
      <c r="K14" s="4" t="inlineStr">
        <is>
          <t>A common beetle. The adults notch leaf edges, and the grubs eat roots, which makes plants wilt and die. Grubs are a particular risk for strawberries and container-grown plants.</t>
        </is>
      </c>
      <c r="L14" s="4" t="inlineStr">
        <is>
          <t>- Tolerate leaf notching caused by the adults
- Pick off adult beetles by hand, searching by torchlight on mild evenings
- In greenhouses, look under pots and staging by day, and use sticky barriers around pots
- Repot plants and remove as many grubs as you can from the roots and compost
- Encourage birds, frogs, toads, shrews and hedgehogs
- Nematodes can be applied in August or early September when the soil is warm</t>
        </is>
      </c>
      <c r="M14" s="4" t="inlineStr">
        <is>
          <t>RHS: Vine weevil (ref 11); RHS: How to grow strawberries (ref 19)</t>
        </is>
      </c>
    </row>
    <row r="15">
      <c r="A15" s="4" t="inlineStr">
        <is>
          <t>cutworms</t>
        </is>
      </c>
      <c r="B15" s="4" t="inlineStr">
        <is>
          <t>Cutworms</t>
        </is>
      </c>
      <c r="C15" s="4" t="inlineStr">
        <is>
          <t>Agrotis segetum (turnip moth), Noctua pronuba (large yellow underwing), Agrotis exclamationis (heart and dart moth)</t>
        </is>
      </c>
      <c r="D15" s="4" t="inlineStr">
        <is>
          <t>Insect (moth caterpillar)</t>
        </is>
      </c>
      <c r="E15" s="4" t="inlineStr">
        <is>
          <t>Lettuce, Potato</t>
        </is>
      </c>
      <c r="F15" s="4" t="inlineStr">
        <is>
          <t>Wilting, Stems cut at soil level</t>
        </is>
      </c>
      <c r="G15" s="10">
        <f>COUNTA('Pest x Symptom'!B15:Q15)</f>
        <v/>
      </c>
      <c r="H15" s="10">
        <f>IF(G15&gt;=3,"Yes","No (needs 3+)")</f>
        <v/>
      </c>
      <c r="I15" s="4" t="inlineStr">
        <is>
          <t>Up to 40 mm long</t>
        </is>
      </c>
      <c r="J15" s="4" t="inlineStr">
        <is>
          <t>Usually greyish-brown, sometimes pale green or creamy-white</t>
        </is>
      </c>
      <c r="K15" s="4" t="inlineStr">
        <is>
          <t>Soil-dwelling moth caterpillars that chew through the bases of stems at ground level and feed on lower leaves at night. Plants can wilt suddenly.</t>
        </is>
      </c>
      <c r="L15" s="4" t="inlineStr">
        <is>
          <t>- Check plants frequently so you can act before damage is serious
- Tolerate some damage where possible
- Remove caterpillars from the soil when you find them
- Keep vegetable plots well watered. Young cutworms are vulnerable to rain and irrigation
- Grow crops under fleece or insect-proof mesh</t>
        </is>
      </c>
      <c r="M15" s="4" t="inlineStr">
        <is>
          <t>RHS: Cutworms (ref 21)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14" customWidth="1" min="1" max="1"/>
    <col width="70" customWidth="1" min="2" max="2"/>
    <col width="14" customWidth="1" min="3" max="3"/>
    <col width="18" customWidth="1" min="4" max="4"/>
    <col width="80" customWidth="1" min="5" max="5"/>
  </cols>
  <sheetData>
    <row r="1">
      <c r="A1" s="1" t="inlineStr">
        <is>
          <t>Crops: who can be found?</t>
        </is>
      </c>
    </row>
    <row r="3">
      <c r="A3" s="5" t="inlineStr">
        <is>
          <t>Crop</t>
        </is>
      </c>
      <c r="B3" s="5" t="inlineStr">
        <is>
          <t>Pests that attack it</t>
        </is>
      </c>
      <c r="C3" s="5" t="inlineStr">
        <is>
          <t>Number of pests</t>
        </is>
      </c>
      <c r="D3" s="5" t="inlineStr">
        <is>
          <t>Status</t>
        </is>
      </c>
      <c r="E3" s="5" t="inlineStr">
        <is>
          <t>Note</t>
        </is>
      </c>
    </row>
    <row r="4">
      <c r="A4" s="4" t="inlineStr">
        <is>
          <t>Tomato</t>
        </is>
      </c>
      <c r="B4" s="4" t="inlineStr">
        <is>
          <t>Aphids, Glasshouse Whitefly, Red Spider Mite, Thrips, Potato Cyst Nematodes</t>
        </is>
      </c>
      <c r="C4" s="10">
        <f>COUNTIF('Pest x Crop'!B4:B15,"?*")</f>
        <v/>
      </c>
      <c r="D4" s="10">
        <f>IF(C4=0,"No pest",IF(C4&lt;3,"Thin coverage","Covered"))</f>
        <v/>
      </c>
      <c r="E4" s="4" t="inlineStr"/>
    </row>
    <row r="5">
      <c r="A5" s="4" t="inlineStr">
        <is>
          <t>Cabbage</t>
        </is>
      </c>
      <c r="B5" s="4" t="inlineStr">
        <is>
          <t>Mealy Cabbage Aphid, Cabbage Caterpillars, Cabbage Root Fly, Slugs and Snails</t>
        </is>
      </c>
      <c r="C5" s="10">
        <f>COUNTIF('Pest x Crop'!C4:C15,"?*")</f>
        <v/>
      </c>
      <c r="D5" s="10">
        <f>IF(C5=0,"No pest",IF(C5&lt;3,"Thin coverage","Covered"))</f>
        <v/>
      </c>
      <c r="E5" s="4" t="inlineStr"/>
    </row>
    <row r="6">
      <c r="A6" s="4" t="inlineStr">
        <is>
          <t>Potato</t>
        </is>
      </c>
      <c r="B6" s="4" t="inlineStr">
        <is>
          <t>Slugs and Snails, Wireworms, Potato Cyst Nematodes, Cutworms</t>
        </is>
      </c>
      <c r="C6" s="10">
        <f>COUNTIF('Pest x Crop'!D4:D15,"?*")</f>
        <v/>
      </c>
      <c r="D6" s="10">
        <f>IF(C6=0,"No pest",IF(C6&lt;3,"Thin coverage","Covered"))</f>
        <v/>
      </c>
      <c r="E6" s="4" t="inlineStr">
        <is>
          <t>Wireworms can only ever be Low (1 symptom).</t>
        </is>
      </c>
    </row>
    <row r="7">
      <c r="A7" s="4" t="inlineStr">
        <is>
          <t>Lettuce</t>
        </is>
      </c>
      <c r="B7" s="4" t="inlineStr">
        <is>
          <t>Aphids, Slugs and Snails, Cutworms</t>
        </is>
      </c>
      <c r="C7" s="10">
        <f>COUNTIF('Pest x Crop'!E4:E15,"?*")</f>
        <v/>
      </c>
      <c r="D7" s="10">
        <f>IF(C7=0,"No pest",IF(C7&lt;3,"Thin coverage","Covered"))</f>
        <v/>
      </c>
      <c r="E7" s="4" t="inlineStr">
        <is>
          <t>Aphids, Slugs and Snails, Cutworms.</t>
        </is>
      </c>
    </row>
    <row r="8">
      <c r="A8" s="4" t="inlineStr">
        <is>
          <t>Pepper</t>
        </is>
      </c>
      <c r="B8" s="4" t="inlineStr">
        <is>
          <t>Aphids, Glasshouse Whitefly, Red Spider Mite</t>
        </is>
      </c>
      <c r="C8" s="10">
        <f>COUNTIF('Pest x Crop'!F4:F15,"?*")</f>
        <v/>
      </c>
      <c r="D8" s="10">
        <f>IF(C8=0,"No pest",IF(C8&lt;3,"Thin coverage","Covered"))</f>
        <v/>
      </c>
      <c r="E8" s="4" t="inlineStr"/>
    </row>
    <row r="9">
      <c r="A9" s="4" t="inlineStr">
        <is>
          <t>Cucumber</t>
        </is>
      </c>
      <c r="B9" s="4" t="inlineStr">
        <is>
          <t>Aphids, Glasshouse Whitefly, Red Spider Mite, Thrips, Slugs and Snails</t>
        </is>
      </c>
      <c r="C9" s="10">
        <f>COUNTIF('Pest x Crop'!G4:G15,"?*")</f>
        <v/>
      </c>
      <c r="D9" s="10">
        <f>IF(C9=0,"No pest",IF(C9&lt;3,"Thin coverage","Covered"))</f>
        <v/>
      </c>
      <c r="E9" s="4" t="inlineStr"/>
    </row>
    <row r="10">
      <c r="A10" s="4" t="inlineStr">
        <is>
          <t>Strawberry</t>
        </is>
      </c>
      <c r="B10" s="4" t="inlineStr">
        <is>
          <t>Aphids, Slugs and Snails, Vine Weevil</t>
        </is>
      </c>
      <c r="C10" s="10">
        <f>COUNTIF('Pest x Crop'!H4:H15,"?*")</f>
        <v/>
      </c>
      <c r="D10" s="10">
        <f>IF(C10=0,"No pest",IF(C10&lt;3,"Thin coverage","Covered"))</f>
        <v/>
      </c>
      <c r="E10" s="4" t="inlineStr">
        <is>
          <t>Vine Weevil has no symptom we can match yet, so growers rely on Aphids and Slugs.</t>
        </is>
      </c>
    </row>
    <row r="11">
      <c r="A11" s="4" t="inlineStr">
        <is>
          <t>Spinach</t>
        </is>
      </c>
      <c r="B11" s="4" t="inlineStr">
        <is>
          <t>Slugs and Snails</t>
        </is>
      </c>
      <c r="C11" s="10">
        <f>COUNTIF('Pest x Crop'!I4:I15,"?*")</f>
        <v/>
      </c>
      <c r="D11" s="10">
        <f>IF(C11=0,"No pest",IF(C11&lt;3,"Thin coverage","Covered"))</f>
        <v/>
      </c>
      <c r="E11" s="4" t="inlineStr">
        <is>
          <t>Only Slugs and Snails is sourced. The RHS spinach page names no other pest. Research a second pest or tell growers coverage is thin.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0" customWidth="1" min="1" max="1"/>
    <col width="80" customWidth="1" min="2" max="2"/>
    <col width="14" customWidth="1" min="3" max="3"/>
    <col width="50" customWidth="1" min="4" max="4"/>
  </cols>
  <sheetData>
    <row r="1">
      <c r="A1" s="1" t="inlineStr">
        <is>
          <t>Symptoms: the 16 exact words</t>
        </is>
      </c>
    </row>
    <row r="2">
      <c r="A2" s="2" t="inlineStr">
        <is>
          <t>Spelling matters. The code compares letters. One typo and a pest silently never matches. tests/tests.html checks this.</t>
        </is>
      </c>
    </row>
    <row r="3">
      <c r="A3" s="5" t="n"/>
      <c r="B3" s="5" t="n"/>
      <c r="C3" s="5" t="n"/>
      <c r="D3" s="5" t="n"/>
    </row>
    <row r="4">
      <c r="A4" s="4" t="inlineStr">
        <is>
          <t>Symptom (exact words)</t>
        </is>
      </c>
      <c r="B4" s="4" t="inlineStr">
        <is>
          <t>Pests that have it</t>
        </is>
      </c>
      <c r="C4" s="10" t="inlineStr">
        <is>
          <t>Number of pests</t>
        </is>
      </c>
      <c r="D4" s="4" t="inlineStr">
        <is>
          <t>Where it came from</t>
        </is>
      </c>
    </row>
    <row r="5">
      <c r="A5" s="4" t="inlineStr">
        <is>
          <t>Holes in leaves</t>
        </is>
      </c>
      <c r="B5" s="4" t="inlineStr">
        <is>
          <t>Cabbage Caterpillars, Slugs and Snails</t>
        </is>
      </c>
      <c r="C5" s="10">
        <f>COUNTIF('Pest x Symptom'!B4:B15,"?*")</f>
        <v/>
      </c>
      <c r="D5" s="4" t="inlineStr">
        <is>
          <t>RHS: caterpillars, slugs</t>
        </is>
      </c>
    </row>
    <row r="6">
      <c r="A6" s="4" t="inlineStr">
        <is>
          <t>Small insects on leaves</t>
        </is>
      </c>
      <c r="B6" s="4" t="inlineStr">
        <is>
          <t>Aphids, Mealy Cabbage Aphid, Glasshouse Whitefly</t>
        </is>
      </c>
      <c r="C6" s="10">
        <f>COUNTIF('Pest x Symptom'!C4:C15,"?*")</f>
        <v/>
      </c>
      <c r="D6" s="4" t="inlineStr">
        <is>
          <t>RHS: aphids, whitefly</t>
        </is>
      </c>
    </row>
    <row r="7">
      <c r="A7" s="4" t="inlineStr">
        <is>
          <t>Caterpillars on leaves</t>
        </is>
      </c>
      <c r="B7" s="4" t="inlineStr">
        <is>
          <t>Cabbage Caterpillars</t>
        </is>
      </c>
      <c r="C7" s="10">
        <f>COUNTIF('Pest x Symptom'!D4:D15,"?*")</f>
        <v/>
      </c>
      <c r="D7" s="4" t="inlineStr">
        <is>
          <t>RHS: cabbage caterpillars</t>
        </is>
      </c>
    </row>
    <row r="8">
      <c r="A8" s="4" t="inlineStr">
        <is>
          <t>Sticky residue</t>
        </is>
      </c>
      <c r="B8" s="4" t="inlineStr">
        <is>
          <t>Aphids, Glasshouse Whitefly</t>
        </is>
      </c>
      <c r="C8" s="10">
        <f>COUNTIF('Pest x Symptom'!E4:E15,"?*")</f>
        <v/>
      </c>
      <c r="D8" s="4" t="inlineStr">
        <is>
          <t>RHS: honeydew</t>
        </is>
      </c>
    </row>
    <row r="9">
      <c r="A9" s="4" t="inlineStr">
        <is>
          <t>Black sooty mould</t>
        </is>
      </c>
      <c r="B9" s="4" t="inlineStr">
        <is>
          <t>Glasshouse Whitefly</t>
        </is>
      </c>
      <c r="C9" s="10">
        <f>COUNTIF('Pest x Symptom'!F4:F15,"?*")</f>
        <v/>
      </c>
      <c r="D9" s="4" t="inlineStr">
        <is>
          <t>RHS: whitefly</t>
        </is>
      </c>
    </row>
    <row r="10">
      <c r="A10" s="4" t="inlineStr">
        <is>
          <t>Curled or distorted leaves</t>
        </is>
      </c>
      <c r="B10" s="4" t="inlineStr">
        <is>
          <t>Aphids, Mealy Cabbage Aphid, Thrips</t>
        </is>
      </c>
      <c r="C10" s="10">
        <f>COUNTIF('Pest x Symptom'!G4:G15,"?*")</f>
        <v/>
      </c>
      <c r="D10" s="4" t="inlineStr">
        <is>
          <t>RHS: aphids, thrips</t>
        </is>
      </c>
    </row>
    <row r="11">
      <c r="A11" s="4" t="inlineStr">
        <is>
          <t>Yellowing leaves</t>
        </is>
      </c>
      <c r="B11" s="4" t="inlineStr">
        <is>
          <t>Mealy Cabbage Aphid, Potato Cyst Nematodes</t>
        </is>
      </c>
      <c r="C11" s="10">
        <f>COUNTIF('Pest x Symptom'!H4:H15,"?*")</f>
        <v/>
      </c>
      <c r="D11" s="4" t="inlineStr">
        <is>
          <t>RHS: mealy cabbage aphid, potato cyst nematodes</t>
        </is>
      </c>
    </row>
    <row r="12">
      <c r="A12" s="4" t="inlineStr">
        <is>
          <t>Mottled leaves</t>
        </is>
      </c>
      <c r="B12" s="4" t="inlineStr">
        <is>
          <t>Red Spider Mite, Thrips</t>
        </is>
      </c>
      <c r="C12" s="10">
        <f>COUNTIF('Pest x Symptom'!I4:I15,"?*")</f>
        <v/>
      </c>
      <c r="D12" s="4" t="inlineStr">
        <is>
          <t>RHS: spider mite, thrips</t>
        </is>
      </c>
    </row>
    <row r="13">
      <c r="A13" s="4" t="inlineStr">
        <is>
          <t>Silvery patches</t>
        </is>
      </c>
      <c r="B13" s="4" t="inlineStr">
        <is>
          <t>Thrips</t>
        </is>
      </c>
      <c r="C13" s="10">
        <f>COUNTIF('Pest x Symptom'!J4:J15,"?*")</f>
        <v/>
      </c>
      <c r="D13" s="4" t="inlineStr">
        <is>
          <t>RHS: thrips</t>
        </is>
      </c>
    </row>
    <row r="14">
      <c r="A14" s="4" t="inlineStr">
        <is>
          <t>Fine webbing</t>
        </is>
      </c>
      <c r="B14" s="4" t="inlineStr">
        <is>
          <t>Red Spider Mite</t>
        </is>
      </c>
      <c r="C14" s="10">
        <f>COUNTIF('Pest x Symptom'!K4:K15,"?*")</f>
        <v/>
      </c>
      <c r="D14" s="4" t="inlineStr">
        <is>
          <t>RHS: spider mite</t>
        </is>
      </c>
    </row>
    <row r="15">
      <c r="A15" s="4" t="inlineStr">
        <is>
          <t>Stunted growth</t>
        </is>
      </c>
      <c r="B15" s="4" t="inlineStr">
        <is>
          <t>Aphids, Cabbage Root Fly, Thrips</t>
        </is>
      </c>
      <c r="C15" s="10">
        <f>COUNTIF('Pest x Symptom'!L4:L15,"?*")</f>
        <v/>
      </c>
      <c r="D15" s="4" t="inlineStr">
        <is>
          <t>RHS: aphids, thrips, cabbage root fly</t>
        </is>
      </c>
    </row>
    <row r="16">
      <c r="A16" s="4" t="inlineStr">
        <is>
          <t>Wilting</t>
        </is>
      </c>
      <c r="B16" s="4" t="inlineStr">
        <is>
          <t>Cabbage Root Fly, Potato Cyst Nematodes, Vine Weevil, Cutworms</t>
        </is>
      </c>
      <c r="C16" s="10">
        <f>COUNTIF('Pest x Symptom'!M4:M15,"?*")</f>
        <v/>
      </c>
      <c r="D16" s="4" t="inlineStr">
        <is>
          <t>RHS: root fly, cyst nematodes, vine weevil, cutworms</t>
        </is>
      </c>
    </row>
    <row r="17">
      <c r="A17" s="4" t="inlineStr">
        <is>
          <t>Tunnelled roots or tubers</t>
        </is>
      </c>
      <c r="B17" s="4" t="inlineStr">
        <is>
          <t>Cabbage Root Fly, Slugs and Snails, Wireworms</t>
        </is>
      </c>
      <c r="C17" s="10">
        <f>COUNTIF('Pest x Symptom'!N4:N15,"?*")</f>
        <v/>
      </c>
      <c r="D17" s="4" t="inlineStr">
        <is>
          <t>RHS: root fly, slugs, wireworms</t>
        </is>
      </c>
    </row>
    <row r="18">
      <c r="A18" s="4" t="inlineStr">
        <is>
          <t>Notched leaf edges</t>
        </is>
      </c>
      <c r="B18" s="4" t="inlineStr">
        <is>
          <t>Vine Weevil</t>
        </is>
      </c>
      <c r="C18" s="10">
        <f>COUNTIF('Pest x Symptom'!O4:O15,"?*")</f>
        <v/>
      </c>
      <c r="D18" s="4" t="inlineStr">
        <is>
          <t>RHS: vine weevil</t>
        </is>
      </c>
    </row>
    <row r="19">
      <c r="A19" s="4" t="inlineStr">
        <is>
          <t>Slime trails</t>
        </is>
      </c>
      <c r="B19" s="4" t="inlineStr">
        <is>
          <t>Slugs and Snails</t>
        </is>
      </c>
      <c r="C19" s="10">
        <f>COUNTIF('Pest x Symptom'!P4:P15,"?*")</f>
        <v/>
      </c>
      <c r="D19" s="4" t="inlineStr">
        <is>
          <t>RHS: slugs</t>
        </is>
      </c>
    </row>
    <row r="20">
      <c r="A20" t="inlineStr">
        <is>
          <t>Stems cut at soil level</t>
        </is>
      </c>
      <c r="B20" t="inlineStr">
        <is>
          <t>Cutworms</t>
        </is>
      </c>
      <c r="C20">
        <f>COUNTIF('Pest x Symptom'!Q4:Q15,"?*")</f>
        <v/>
      </c>
      <c r="D20" t="inlineStr">
        <is>
          <t>RHS: cutworms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32" customWidth="1" min="1" max="1"/>
    <col width="70" customWidth="1" min="2" max="2"/>
    <col width="20" customWidth="1" min="3" max="3"/>
    <col width="12" customWidth="1" min="4" max="4"/>
    <col width="22" customWidth="1" min="5" max="5"/>
  </cols>
  <sheetData>
    <row r="1">
      <c r="A1" s="1" t="inlineStr">
        <is>
          <t>Matching rules and label calculator</t>
        </is>
      </c>
    </row>
    <row r="2">
      <c r="A2" s="2" t="inlineStr">
        <is>
          <t>Edit the yellow cells to see how the labels change. These thresholds are the team's choice (js/matching.js), not a standard.</t>
        </is>
      </c>
    </row>
    <row r="4">
      <c r="A4" s="13" t="inlineStr">
        <is>
          <t>The 3 steps for every pest</t>
        </is>
      </c>
    </row>
    <row r="5">
      <c r="A5" s="4" t="inlineStr">
        <is>
          <t>Step 1</t>
        </is>
      </c>
      <c r="B5" s="4" t="inlineStr">
        <is>
          <t>Does the pest attack the chosen crop? If not, skip it.</t>
        </is>
      </c>
    </row>
    <row r="6">
      <c r="A6" s="4" t="inlineStr">
        <is>
          <t>Step 2</t>
        </is>
      </c>
      <c r="B6" s="4" t="inlineStr">
        <is>
          <t>Count the ticked symptoms the pest has. If none, skip it.</t>
        </is>
      </c>
    </row>
    <row r="7">
      <c r="A7" s="4" t="inlineStr">
        <is>
          <t>Step 3</t>
        </is>
      </c>
      <c r="B7" s="4" t="inlineStr">
        <is>
          <t>share = matched / the pest's own symptom count. Then pick the label. Sort: most matches first, bigger share breaks ties.</t>
        </is>
      </c>
    </row>
    <row r="9">
      <c r="A9" s="13" t="inlineStr">
        <is>
          <t>Thresholds</t>
        </is>
      </c>
    </row>
    <row r="10">
      <c r="A10" s="14" t="inlineStr">
        <is>
          <t>High: matches needed</t>
        </is>
      </c>
      <c r="B10" s="15" t="n">
        <v>3</v>
      </c>
    </row>
    <row r="11">
      <c r="A11" s="14" t="inlineStr">
        <is>
          <t>High: share needed</t>
        </is>
      </c>
      <c r="B11" s="16" t="n">
        <v>0.6</v>
      </c>
    </row>
    <row r="12">
      <c r="A12" s="14" t="inlineStr">
        <is>
          <t>Medium: matches needed</t>
        </is>
      </c>
      <c r="B12" s="15" t="n">
        <v>2</v>
      </c>
    </row>
    <row r="13">
      <c r="A13" s="14" t="inlineStr">
        <is>
          <t>Medium: share needed</t>
        </is>
      </c>
      <c r="B13" s="16" t="n">
        <v>0.4</v>
      </c>
    </row>
    <row r="15">
      <c r="A15" s="13" t="inlineStr">
        <is>
          <t>Calculator: type how many symptoms matched</t>
        </is>
      </c>
    </row>
    <row r="16">
      <c r="A16" s="5" t="inlineStr">
        <is>
          <t>Pest</t>
        </is>
      </c>
      <c r="B16" s="5" t="inlineStr">
        <is>
          <t>Its symptoms (from data)</t>
        </is>
      </c>
      <c r="C16" s="5" t="inlineStr">
        <is>
          <t>Matched (you type)</t>
        </is>
      </c>
      <c r="D16" s="5" t="inlineStr">
        <is>
          <t>Share</t>
        </is>
      </c>
      <c r="E16" s="5" t="inlineStr">
        <is>
          <t>Label</t>
        </is>
      </c>
    </row>
    <row r="17">
      <c r="A17" s="3" t="inlineStr">
        <is>
          <t>Aphids</t>
        </is>
      </c>
      <c r="B17" s="10">
        <f>COUNTA('Pest x Symptom'!B4:Q4)</f>
        <v/>
      </c>
      <c r="C17" s="17" t="n">
        <v>2</v>
      </c>
      <c r="D17" s="18">
        <f>IF(B17&gt;0,C17/B17,0)</f>
        <v/>
      </c>
      <c r="E17" s="10">
        <f>IF(C17=0,"Skipped (no match)",IF(AND(C17&gt;=$B$10,D17&gt;=$B$11),"High match",IF(AND(C17&gt;=$B$12,D17&gt;=$B$13),"Medium match","Low match")))</f>
        <v/>
      </c>
    </row>
    <row r="18">
      <c r="A18" s="3" t="inlineStr">
        <is>
          <t>Mealy Cabbage Aphid</t>
        </is>
      </c>
      <c r="B18" s="10">
        <f>COUNTA('Pest x Symptom'!B5:Q5)</f>
        <v/>
      </c>
      <c r="C18" s="17" t="n">
        <v>2</v>
      </c>
      <c r="D18" s="18">
        <f>IF(B18&gt;0,C18/B18,0)</f>
        <v/>
      </c>
      <c r="E18" s="10">
        <f>IF(C18=0,"Skipped (no match)",IF(AND(C18&gt;=$B$10,D18&gt;=$B$11),"High match",IF(AND(C18&gt;=$B$12,D18&gt;=$B$13),"Medium match","Low match")))</f>
        <v/>
      </c>
    </row>
    <row r="19">
      <c r="A19" s="3" t="inlineStr">
        <is>
          <t>Glasshouse Whitefly</t>
        </is>
      </c>
      <c r="B19" s="10">
        <f>COUNTA('Pest x Symptom'!B6:Q6)</f>
        <v/>
      </c>
      <c r="C19" s="17" t="n">
        <v>2</v>
      </c>
      <c r="D19" s="18">
        <f>IF(B19&gt;0,C19/B19,0)</f>
        <v/>
      </c>
      <c r="E19" s="10">
        <f>IF(C19=0,"Skipped (no match)",IF(AND(C19&gt;=$B$10,D19&gt;=$B$11),"High match",IF(AND(C19&gt;=$B$12,D19&gt;=$B$13),"Medium match","Low match")))</f>
        <v/>
      </c>
    </row>
    <row r="20">
      <c r="A20" s="3" t="inlineStr">
        <is>
          <t>Cabbage Caterpillars</t>
        </is>
      </c>
      <c r="B20" s="10">
        <f>COUNTA('Pest x Symptom'!B7:Q7)</f>
        <v/>
      </c>
      <c r="C20" s="17" t="n">
        <v>2</v>
      </c>
      <c r="D20" s="18">
        <f>IF(B20&gt;0,C20/B20,0)</f>
        <v/>
      </c>
      <c r="E20" s="10">
        <f>IF(C20=0,"Skipped (no match)",IF(AND(C20&gt;=$B$10,D20&gt;=$B$11),"High match",IF(AND(C20&gt;=$B$12,D20&gt;=$B$13),"Medium match","Low match")))</f>
        <v/>
      </c>
    </row>
    <row r="21">
      <c r="A21" s="3" t="inlineStr">
        <is>
          <t>Cabbage Root Fly</t>
        </is>
      </c>
      <c r="B21" s="10">
        <f>COUNTA('Pest x Symptom'!B8:Q8)</f>
        <v/>
      </c>
      <c r="C21" s="17" t="n">
        <v>2</v>
      </c>
      <c r="D21" s="18">
        <f>IF(B21&gt;0,C21/B21,0)</f>
        <v/>
      </c>
      <c r="E21" s="10">
        <f>IF(C21=0,"Skipped (no match)",IF(AND(C21&gt;=$B$10,D21&gt;=$B$11),"High match",IF(AND(C21&gt;=$B$12,D21&gt;=$B$13),"Medium match","Low match")))</f>
        <v/>
      </c>
    </row>
    <row r="22">
      <c r="A22" s="3" t="inlineStr">
        <is>
          <t>Red Spider Mite</t>
        </is>
      </c>
      <c r="B22" s="10">
        <f>COUNTA('Pest x Symptom'!B9:Q9)</f>
        <v/>
      </c>
      <c r="C22" s="17" t="n">
        <v>2</v>
      </c>
      <c r="D22" s="18">
        <f>IF(B22&gt;0,C22/B22,0)</f>
        <v/>
      </c>
      <c r="E22" s="10">
        <f>IF(C22=0,"Skipped (no match)",IF(AND(C22&gt;=$B$10,D22&gt;=$B$11),"High match",IF(AND(C22&gt;=$B$12,D22&gt;=$B$13),"Medium match","Low match")))</f>
        <v/>
      </c>
    </row>
    <row r="23">
      <c r="A23" s="3" t="inlineStr">
        <is>
          <t>Thrips</t>
        </is>
      </c>
      <c r="B23" s="10">
        <f>COUNTA('Pest x Symptom'!B10:Q10)</f>
        <v/>
      </c>
      <c r="C23" s="17" t="n">
        <v>2</v>
      </c>
      <c r="D23" s="18">
        <f>IF(B23&gt;0,C23/B23,0)</f>
        <v/>
      </c>
      <c r="E23" s="10">
        <f>IF(C23=0,"Skipped (no match)",IF(AND(C23&gt;=$B$10,D23&gt;=$B$11),"High match",IF(AND(C23&gt;=$B$12,D23&gt;=$B$13),"Medium match","Low match")))</f>
        <v/>
      </c>
    </row>
    <row r="24">
      <c r="A24" s="3" t="inlineStr">
        <is>
          <t>Slugs and Snails</t>
        </is>
      </c>
      <c r="B24" s="10">
        <f>COUNTA('Pest x Symptom'!B11:Q11)</f>
        <v/>
      </c>
      <c r="C24" s="17" t="n">
        <v>2</v>
      </c>
      <c r="D24" s="18">
        <f>IF(B24&gt;0,C24/B24,0)</f>
        <v/>
      </c>
      <c r="E24" s="10">
        <f>IF(C24=0,"Skipped (no match)",IF(AND(C24&gt;=$B$10,D24&gt;=$B$11),"High match",IF(AND(C24&gt;=$B$12,D24&gt;=$B$13),"Medium match","Low match")))</f>
        <v/>
      </c>
    </row>
    <row r="25">
      <c r="A25" s="3" t="inlineStr">
        <is>
          <t>Wireworms</t>
        </is>
      </c>
      <c r="B25" s="10">
        <f>COUNTA('Pest x Symptom'!B12:Q12)</f>
        <v/>
      </c>
      <c r="C25" s="17" t="n">
        <v>1</v>
      </c>
      <c r="D25" s="18">
        <f>IF(B25&gt;0,C25/B25,0)</f>
        <v/>
      </c>
      <c r="E25" s="10">
        <f>IF(C25=0,"Skipped (no match)",IF(AND(C25&gt;=$B$10,D25&gt;=$B$11),"High match",IF(AND(C25&gt;=$B$12,D25&gt;=$B$13),"Medium match","Low match")))</f>
        <v/>
      </c>
    </row>
    <row r="26">
      <c r="A26" s="3" t="inlineStr">
        <is>
          <t>Potato Cyst Nematodes</t>
        </is>
      </c>
      <c r="B26" s="10">
        <f>COUNTA('Pest x Symptom'!B13:Q13)</f>
        <v/>
      </c>
      <c r="C26" s="17" t="n">
        <v>2</v>
      </c>
      <c r="D26" s="18">
        <f>IF(B26&gt;0,C26/B26,0)</f>
        <v/>
      </c>
      <c r="E26" s="10">
        <f>IF(C26=0,"Skipped (no match)",IF(AND(C26&gt;=$B$10,D26&gt;=$B$11),"High match",IF(AND(C26&gt;=$B$12,D26&gt;=$B$13),"Medium match","Low match")))</f>
        <v/>
      </c>
    </row>
    <row r="27">
      <c r="A27" s="3" t="inlineStr">
        <is>
          <t>Vine Weevil</t>
        </is>
      </c>
      <c r="B27" s="10">
        <f>COUNTA('Pest x Symptom'!B14:Q14)</f>
        <v/>
      </c>
      <c r="C27" s="17" t="n">
        <v>2</v>
      </c>
      <c r="D27" s="18">
        <f>IF(B27&gt;0,C27/B27,0)</f>
        <v/>
      </c>
      <c r="E27" s="10">
        <f>IF(C27=0,"Skipped (no match)",IF(AND(C27&gt;=$B$10,D27&gt;=$B$11),"High match",IF(AND(C27&gt;=$B$12,D27&gt;=$B$13),"Medium match","Low match")))</f>
        <v/>
      </c>
    </row>
    <row r="28">
      <c r="A28" s="3" t="inlineStr">
        <is>
          <t>Cutworms</t>
        </is>
      </c>
      <c r="B28" s="10">
        <f>COUNTA('Pest x Symptom'!B15:Q15)</f>
        <v/>
      </c>
      <c r="C28" s="17" t="n">
        <v>2</v>
      </c>
      <c r="D28" s="18">
        <f>IF(B28&gt;0,C28/B28,0)</f>
        <v/>
      </c>
      <c r="E28" s="10">
        <f>IF(C28=0,"Skipped (no match)",IF(AND(C28&gt;=$B$10,D28&gt;=$B$11),"High match",IF(AND(C28&gt;=$B$12,D28&gt;=$B$13),"Medium match","Low match")))</f>
        <v/>
      </c>
    </row>
    <row r="30">
      <c r="A30" s="13" t="inlineStr">
        <is>
          <t>Plain meaning</t>
        </is>
      </c>
    </row>
    <row r="31">
      <c r="A31" s="14" t="inlineStr">
        <is>
          <t>High match</t>
        </is>
      </c>
      <c r="B31" s="19" t="inlineStr">
        <is>
          <t>Strong evidence. Needs 3+ symptoms AND 60%+ of the pest's list.</t>
        </is>
      </c>
    </row>
    <row r="32">
      <c r="A32" s="14" t="inlineStr">
        <is>
          <t>Medium match</t>
        </is>
      </c>
      <c r="B32" s="19" t="inlineStr">
        <is>
          <t>Plausible. Needs 2+ symptoms AND 40%+ of its list.</t>
        </is>
      </c>
    </row>
    <row r="33">
      <c r="A33" s="14" t="inlineStr">
        <is>
          <t>Low match</t>
        </is>
      </c>
      <c r="B33" s="19" t="inlineStr">
        <is>
          <t>Possible. Check the others too. Not a failure.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33"/>
  <sheetViews>
    <sheetView workbookViewId="0">
      <selection activeCell="A1" sqref="A1"/>
    </sheetView>
  </sheetViews>
  <sheetFormatPr baseColWidth="8" defaultRowHeight="15"/>
  <cols>
    <col width="14" customWidth="1" min="1" max="1"/>
    <col width="30" customWidth="1" min="2" max="2"/>
    <col width="70" customWidth="1" min="3" max="3"/>
    <col width="14" customWidth="1" min="4" max="4"/>
    <col width="8" customWidth="1" min="5" max="5"/>
    <col width="3" customWidth="1" min="6" max="6"/>
    <col width="44" customWidth="1" min="7" max="7"/>
    <col width="12" customWidth="1" min="8" max="8"/>
    <col width="40" customWidth="1" min="9" max="9"/>
    <col width="50" customWidth="1" min="10" max="10"/>
    <col width="40" customWidth="1" min="11" max="11"/>
  </cols>
  <sheetData>
    <row r="1">
      <c r="A1" s="1" t="inlineStr">
        <is>
          <t>Scenarios: what the site shows</t>
        </is>
      </c>
    </row>
    <row r="2">
      <c r="A2" s="2" t="inlineStr">
        <is>
          <t>Generated from the data using the same rules as matching.js. If the data changes, these must be regenerated.</t>
        </is>
      </c>
    </row>
    <row r="4">
      <c r="A4" s="13" t="inlineStr">
        <is>
          <t>A. One symptom ticked (every crop x every symptom)</t>
        </is>
      </c>
      <c r="H4" s="13" t="inlineStr">
        <is>
          <t>B. Worked examples (several ticks)</t>
        </is>
      </c>
    </row>
    <row r="5">
      <c r="A5" s="5" t="inlineStr">
        <is>
          <t>Crop</t>
        </is>
      </c>
      <c r="B5" s="5" t="inlineStr">
        <is>
          <t>Symptom ticked</t>
        </is>
      </c>
      <c r="C5" s="5" t="inlineStr">
        <is>
          <t>Pests shown (best first)</t>
        </is>
      </c>
      <c r="D5" s="5" t="inlineStr">
        <is>
          <t>Best label</t>
        </is>
      </c>
      <c r="E5" s="5" t="inlineStr">
        <is>
          <t>Count</t>
        </is>
      </c>
      <c r="G5" s="20" t="inlineStr">
        <is>
          <t>Summary</t>
        </is>
      </c>
      <c r="H5" s="21" t="inlineStr">
        <is>
          <t>Crop</t>
        </is>
      </c>
      <c r="I5" s="21" t="inlineStr">
        <is>
          <t>Ticked</t>
        </is>
      </c>
      <c r="J5" s="21" t="inlineStr">
        <is>
          <t>Result (best first)</t>
        </is>
      </c>
      <c r="K5" s="21" t="inlineStr">
        <is>
          <t>Why this example</t>
        </is>
      </c>
    </row>
    <row r="6">
      <c r="A6" s="22" t="inlineStr">
        <is>
          <t>Tomato</t>
        </is>
      </c>
      <c r="B6" s="22" t="inlineStr">
        <is>
          <t>Holes in leaves</t>
        </is>
      </c>
      <c r="C6" s="22" t="inlineStr">
        <is>
          <t>No pests match</t>
        </is>
      </c>
      <c r="D6" s="9" t="inlineStr">
        <is>
          <t>-</t>
        </is>
      </c>
      <c r="E6" s="9" t="n">
        <v>0</v>
      </c>
      <c r="G6" t="inlineStr">
        <is>
          <t>128 one-tick scenarios</t>
        </is>
      </c>
      <c r="H6" s="23" t="inlineStr">
        <is>
          <t>Tomato</t>
        </is>
      </c>
      <c r="I6" s="23" t="inlineStr">
        <is>
          <t>Small insects on leaves; Sticky residue; Black sooty mould</t>
        </is>
      </c>
      <c r="J6" s="23" t="inlineStr">
        <is>
          <t>Glasshouse Whitefly: High match (3 of 3, share 100%)
Aphids: Medium match (2 of 4, share 50%)</t>
        </is>
      </c>
      <c r="K6" s="23" t="inlineStr">
        <is>
          <t>Classic whitefly picture</t>
        </is>
      </c>
    </row>
    <row r="7">
      <c r="A7" s="4" t="inlineStr">
        <is>
          <t>Tomato</t>
        </is>
      </c>
      <c r="B7" s="4" t="inlineStr">
        <is>
          <t>Small insects on leaves</t>
        </is>
      </c>
      <c r="C7" s="4" t="inlineStr">
        <is>
          <t>Glasshouse Whitefly (Low), Aphids (Low)</t>
        </is>
      </c>
      <c r="D7" s="10" t="inlineStr">
        <is>
          <t>Low match</t>
        </is>
      </c>
      <c r="E7" s="10" t="n">
        <v>2</v>
      </c>
      <c r="G7" t="inlineStr">
        <is>
          <t>64 show "No pests match" (red rows). That is normal: most symptoms belong to only a few pests.</t>
        </is>
      </c>
      <c r="H7" s="23" t="inlineStr">
        <is>
          <t>Tomato</t>
        </is>
      </c>
      <c r="I7" s="23" t="inlineStr">
        <is>
          <t>Small insects on leaves; Sticky residue; Curled or distorted leaves; Stunted growth</t>
        </is>
      </c>
      <c r="J7" s="23" t="inlineStr">
        <is>
          <t>Aphids: High match (4 of 4, share 100%)
Glasshouse Whitefly: Medium match (2 of 3, share 67%)
Thrips: Medium match (2 of 4, share 50%)</t>
        </is>
      </c>
      <c r="K7" s="23" t="inlineStr">
        <is>
          <t>Classic aphid picture</t>
        </is>
      </c>
    </row>
    <row r="8">
      <c r="A8" s="22" t="inlineStr">
        <is>
          <t>Tomato</t>
        </is>
      </c>
      <c r="B8" s="22" t="inlineStr">
        <is>
          <t>Caterpillars on leaves</t>
        </is>
      </c>
      <c r="C8" s="22" t="inlineStr">
        <is>
          <t>No pests match</t>
        </is>
      </c>
      <c r="D8" s="9" t="inlineStr">
        <is>
          <t>-</t>
        </is>
      </c>
      <c r="E8" s="9" t="n">
        <v>0</v>
      </c>
      <c r="H8" s="23" t="inlineStr">
        <is>
          <t>Cabbage</t>
        </is>
      </c>
      <c r="I8" s="23" t="inlineStr">
        <is>
          <t>Holes in leaves; Caterpillars on leaves</t>
        </is>
      </c>
      <c r="J8" s="23" t="inlineStr">
        <is>
          <t>Cabbage Caterpillars: Medium match (2 of 2, share 100%)
Slugs and Snails: Low match (1 of 3, share 33%)</t>
        </is>
      </c>
      <c r="K8" s="23" t="inlineStr">
        <is>
          <t>Two ticks, but caterpillars have only 2 symptoms</t>
        </is>
      </c>
    </row>
    <row r="9">
      <c r="A9" s="4" t="inlineStr">
        <is>
          <t>Tomato</t>
        </is>
      </c>
      <c r="B9" s="4" t="inlineStr">
        <is>
          <t>Sticky residue</t>
        </is>
      </c>
      <c r="C9" s="4" t="inlineStr">
        <is>
          <t>Glasshouse Whitefly (Low), Aphids (Low)</t>
        </is>
      </c>
      <c r="D9" s="10" t="inlineStr">
        <is>
          <t>Low match</t>
        </is>
      </c>
      <c r="E9" s="10" t="n">
        <v>2</v>
      </c>
      <c r="H9" s="23" t="inlineStr">
        <is>
          <t>Cabbage</t>
        </is>
      </c>
      <c r="I9" s="23" t="inlineStr">
        <is>
          <t>Wilting; Stunted growth; Tunnelled roots or tubers</t>
        </is>
      </c>
      <c r="J9" s="23" t="inlineStr">
        <is>
          <t>Cabbage Root Fly: High match (3 of 3, share 100%)
Slugs and Snails: Low match (1 of 3, share 33%)</t>
        </is>
      </c>
      <c r="K9" s="23" t="inlineStr">
        <is>
          <t>Cabbage root fly: all 3 of its symptoms</t>
        </is>
      </c>
    </row>
    <row r="10">
      <c r="A10" s="4" t="inlineStr">
        <is>
          <t>Tomato</t>
        </is>
      </c>
      <c r="B10" s="4" t="inlineStr">
        <is>
          <t>Black sooty mould</t>
        </is>
      </c>
      <c r="C10" s="4" t="inlineStr">
        <is>
          <t>Glasshouse Whitefly (Low)</t>
        </is>
      </c>
      <c r="D10" s="10" t="inlineStr">
        <is>
          <t>Low match</t>
        </is>
      </c>
      <c r="E10" s="10" t="n">
        <v>1</v>
      </c>
      <c r="H10" s="23" t="inlineStr">
        <is>
          <t>Potato</t>
        </is>
      </c>
      <c r="I10" s="23" t="inlineStr">
        <is>
          <t>Tunnelled roots or tubers</t>
        </is>
      </c>
      <c r="J10" s="23" t="inlineStr">
        <is>
          <t>Wireworms: Low match (1 of 1, share 100%)
Slugs and Snails: Low match (1 of 3, share 33%)</t>
        </is>
      </c>
      <c r="K10" s="23" t="inlineStr">
        <is>
          <t>Slugs, wireworms: one tick cannot separate them</t>
        </is>
      </c>
    </row>
    <row r="11">
      <c r="A11" s="4" t="inlineStr">
        <is>
          <t>Tomato</t>
        </is>
      </c>
      <c r="B11" s="4" t="inlineStr">
        <is>
          <t>Curled or distorted leaves</t>
        </is>
      </c>
      <c r="C11" s="4" t="inlineStr">
        <is>
          <t>Aphids (Low), Thrips (Low)</t>
        </is>
      </c>
      <c r="D11" s="10" t="inlineStr">
        <is>
          <t>Low match</t>
        </is>
      </c>
      <c r="E11" s="10" t="n">
        <v>2</v>
      </c>
      <c r="H11" s="23" t="inlineStr">
        <is>
          <t>Potato</t>
        </is>
      </c>
      <c r="I11" s="23" t="inlineStr">
        <is>
          <t>Yellowing leaves; Wilting</t>
        </is>
      </c>
      <c r="J11" s="23" t="inlineStr">
        <is>
          <t>Potato Cyst Nematodes: Medium match (2 of 2, share 100%)
Cutworms: Low match (1 of 2, share 50%)</t>
        </is>
      </c>
      <c r="K11" s="23" t="inlineStr">
        <is>
          <t>Potato cyst nematodes: both symptoms</t>
        </is>
      </c>
    </row>
    <row r="12">
      <c r="A12" s="4" t="inlineStr">
        <is>
          <t>Tomato</t>
        </is>
      </c>
      <c r="B12" s="4" t="inlineStr">
        <is>
          <t>Yellowing leaves</t>
        </is>
      </c>
      <c r="C12" s="4" t="inlineStr">
        <is>
          <t>Potato Cyst Nematodes (Low)</t>
        </is>
      </c>
      <c r="D12" s="10" t="inlineStr">
        <is>
          <t>Low match</t>
        </is>
      </c>
      <c r="E12" s="10" t="n">
        <v>1</v>
      </c>
      <c r="H12" s="23" t="inlineStr">
        <is>
          <t>Strawberry</t>
        </is>
      </c>
      <c r="I12" s="23" t="inlineStr">
        <is>
          <t>Notched leaf edges; Wilting</t>
        </is>
      </c>
      <c r="J12" s="23" t="inlineStr">
        <is>
          <t>Vine Weevil: Medium match (2 of 2, share 100%)</t>
        </is>
      </c>
      <c r="K12" s="23" t="inlineStr">
        <is>
          <t>Vine weevil: both symptoms</t>
        </is>
      </c>
    </row>
    <row r="13">
      <c r="A13" s="4" t="inlineStr">
        <is>
          <t>Tomato</t>
        </is>
      </c>
      <c r="B13" s="4" t="inlineStr">
        <is>
          <t>Mottled leaves</t>
        </is>
      </c>
      <c r="C13" s="4" t="inlineStr">
        <is>
          <t>Red Spider Mite (Low), Thrips (Low)</t>
        </is>
      </c>
      <c r="D13" s="10" t="inlineStr">
        <is>
          <t>Low match</t>
        </is>
      </c>
      <c r="E13" s="10" t="n">
        <v>2</v>
      </c>
      <c r="H13" s="23" t="inlineStr">
        <is>
          <t>Cucumber</t>
        </is>
      </c>
      <c r="I13" s="23" t="inlineStr">
        <is>
          <t>Mottled leaves; Fine webbing</t>
        </is>
      </c>
      <c r="J13" s="23" t="inlineStr">
        <is>
          <t>Red Spider Mite: Medium match (2 of 2, share 100%)
Thrips: Low match (1 of 4, share 25%)</t>
        </is>
      </c>
      <c r="K13" s="23" t="inlineStr">
        <is>
          <t>Red spider mite: both symptoms</t>
        </is>
      </c>
    </row>
    <row r="14">
      <c r="A14" s="4" t="inlineStr">
        <is>
          <t>Tomato</t>
        </is>
      </c>
      <c r="B14" s="4" t="inlineStr">
        <is>
          <t>Silvery patches</t>
        </is>
      </c>
      <c r="C14" s="4" t="inlineStr">
        <is>
          <t>Thrips (Low)</t>
        </is>
      </c>
      <c r="D14" s="10" t="inlineStr">
        <is>
          <t>Low match</t>
        </is>
      </c>
      <c r="E14" s="10" t="n">
        <v>1</v>
      </c>
      <c r="H14" s="23" t="inlineStr">
        <is>
          <t>Spinach</t>
        </is>
      </c>
      <c r="I14" s="23" t="inlineStr">
        <is>
          <t>Holes in leaves; Slime trails</t>
        </is>
      </c>
      <c r="J14" s="23" t="inlineStr">
        <is>
          <t>Slugs and Snails: Medium match (2 of 3, share 67%)</t>
        </is>
      </c>
      <c r="K14" s="23" t="inlineStr">
        <is>
          <t>Spinach only has slugs</t>
        </is>
      </c>
    </row>
    <row r="15">
      <c r="A15" s="4" t="inlineStr">
        <is>
          <t>Tomato</t>
        </is>
      </c>
      <c r="B15" s="4" t="inlineStr">
        <is>
          <t>Fine webbing</t>
        </is>
      </c>
      <c r="C15" s="4" t="inlineStr">
        <is>
          <t>Red Spider Mite (Low)</t>
        </is>
      </c>
      <c r="D15" s="10" t="inlineStr">
        <is>
          <t>Low match</t>
        </is>
      </c>
      <c r="E15" s="10" t="n">
        <v>1</v>
      </c>
      <c r="H15" s="23" t="inlineStr">
        <is>
          <t>Lettuce</t>
        </is>
      </c>
      <c r="I15" s="23" t="inlineStr">
        <is>
          <t>Wilting; Stems cut at soil level</t>
        </is>
      </c>
      <c r="J15" s="23" t="inlineStr">
        <is>
          <t>Cutworms: Medium match (2 of 2, share 100%)</t>
        </is>
      </c>
      <c r="K15" s="23" t="inlineStr">
        <is>
          <t>Cutworms, both symptoms</t>
        </is>
      </c>
    </row>
    <row r="16">
      <c r="A16" s="4" t="inlineStr">
        <is>
          <t>Tomato</t>
        </is>
      </c>
      <c r="B16" s="4" t="inlineStr">
        <is>
          <t>Stunted growth</t>
        </is>
      </c>
      <c r="C16" s="4" t="inlineStr">
        <is>
          <t>Aphids (Low), Thrips (Low)</t>
        </is>
      </c>
      <c r="D16" s="10" t="inlineStr">
        <is>
          <t>Low match</t>
        </is>
      </c>
      <c r="E16" s="10" t="n">
        <v>2</v>
      </c>
    </row>
    <row r="17">
      <c r="A17" s="4" t="inlineStr">
        <is>
          <t>Tomato</t>
        </is>
      </c>
      <c r="B17" s="4" t="inlineStr">
        <is>
          <t>Wilting</t>
        </is>
      </c>
      <c r="C17" s="4" t="inlineStr">
        <is>
          <t>Potato Cyst Nematodes (Low)</t>
        </is>
      </c>
      <c r="D17" s="10" t="inlineStr">
        <is>
          <t>Low match</t>
        </is>
      </c>
      <c r="E17" s="10" t="n">
        <v>1</v>
      </c>
    </row>
    <row r="18">
      <c r="A18" s="22" t="inlineStr">
        <is>
          <t>Tomato</t>
        </is>
      </c>
      <c r="B18" s="22" t="inlineStr">
        <is>
          <t>Tunnelled roots or tubers</t>
        </is>
      </c>
      <c r="C18" s="22" t="inlineStr">
        <is>
          <t>No pests match</t>
        </is>
      </c>
      <c r="D18" s="9" t="inlineStr">
        <is>
          <t>-</t>
        </is>
      </c>
      <c r="E18" s="9" t="n">
        <v>0</v>
      </c>
    </row>
    <row r="19">
      <c r="A19" s="22" t="inlineStr">
        <is>
          <t>Tomato</t>
        </is>
      </c>
      <c r="B19" s="22" t="inlineStr">
        <is>
          <t>Notched leaf edges</t>
        </is>
      </c>
      <c r="C19" s="22" t="inlineStr">
        <is>
          <t>No pests match</t>
        </is>
      </c>
      <c r="D19" s="9" t="inlineStr">
        <is>
          <t>-</t>
        </is>
      </c>
      <c r="E19" s="9" t="n">
        <v>0</v>
      </c>
    </row>
    <row r="20">
      <c r="A20" s="22" t="inlineStr">
        <is>
          <t>Tomato</t>
        </is>
      </c>
      <c r="B20" s="22" t="inlineStr">
        <is>
          <t>Slime trails</t>
        </is>
      </c>
      <c r="C20" s="22" t="inlineStr">
        <is>
          <t>No pests match</t>
        </is>
      </c>
      <c r="D20" s="9" t="inlineStr">
        <is>
          <t>-</t>
        </is>
      </c>
      <c r="E20" s="9" t="n">
        <v>0</v>
      </c>
    </row>
    <row r="21">
      <c r="A21" s="22" t="inlineStr">
        <is>
          <t>Tomato</t>
        </is>
      </c>
      <c r="B21" s="22" t="inlineStr">
        <is>
          <t>Stems cut at soil level</t>
        </is>
      </c>
      <c r="C21" s="22" t="inlineStr">
        <is>
          <t>No pests match</t>
        </is>
      </c>
      <c r="D21" s="9" t="inlineStr">
        <is>
          <t>-</t>
        </is>
      </c>
      <c r="E21" s="9" t="n">
        <v>0</v>
      </c>
    </row>
    <row r="22">
      <c r="A22" s="4" t="inlineStr">
        <is>
          <t>Cabbage</t>
        </is>
      </c>
      <c r="B22" s="4" t="inlineStr">
        <is>
          <t>Holes in leaves</t>
        </is>
      </c>
      <c r="C22" s="4" t="inlineStr">
        <is>
          <t>Cabbage Caterpillars (Low), Slugs and Snails (Low)</t>
        </is>
      </c>
      <c r="D22" s="10" t="inlineStr">
        <is>
          <t>Low match</t>
        </is>
      </c>
      <c r="E22" s="10" t="n">
        <v>2</v>
      </c>
    </row>
    <row r="23">
      <c r="A23" s="4" t="inlineStr">
        <is>
          <t>Cabbage</t>
        </is>
      </c>
      <c r="B23" s="4" t="inlineStr">
        <is>
          <t>Small insects on leaves</t>
        </is>
      </c>
      <c r="C23" s="4" t="inlineStr">
        <is>
          <t>Mealy Cabbage Aphid (Low)</t>
        </is>
      </c>
      <c r="D23" s="10" t="inlineStr">
        <is>
          <t>Low match</t>
        </is>
      </c>
      <c r="E23" s="10" t="n">
        <v>1</v>
      </c>
    </row>
    <row r="24">
      <c r="A24" s="4" t="inlineStr">
        <is>
          <t>Cabbage</t>
        </is>
      </c>
      <c r="B24" s="4" t="inlineStr">
        <is>
          <t>Caterpillars on leaves</t>
        </is>
      </c>
      <c r="C24" s="4" t="inlineStr">
        <is>
          <t>Cabbage Caterpillars (Low)</t>
        </is>
      </c>
      <c r="D24" s="10" t="inlineStr">
        <is>
          <t>Low match</t>
        </is>
      </c>
      <c r="E24" s="10" t="n">
        <v>1</v>
      </c>
    </row>
    <row r="25">
      <c r="A25" s="22" t="inlineStr">
        <is>
          <t>Cabbage</t>
        </is>
      </c>
      <c r="B25" s="22" t="inlineStr">
        <is>
          <t>Sticky residue</t>
        </is>
      </c>
      <c r="C25" s="22" t="inlineStr">
        <is>
          <t>No pests match</t>
        </is>
      </c>
      <c r="D25" s="9" t="inlineStr">
        <is>
          <t>-</t>
        </is>
      </c>
      <c r="E25" s="9" t="n">
        <v>0</v>
      </c>
    </row>
    <row r="26">
      <c r="A26" s="22" t="inlineStr">
        <is>
          <t>Cabbage</t>
        </is>
      </c>
      <c r="B26" s="22" t="inlineStr">
        <is>
          <t>Black sooty mould</t>
        </is>
      </c>
      <c r="C26" s="22" t="inlineStr">
        <is>
          <t>No pests match</t>
        </is>
      </c>
      <c r="D26" s="9" t="inlineStr">
        <is>
          <t>-</t>
        </is>
      </c>
      <c r="E26" s="9" t="n">
        <v>0</v>
      </c>
    </row>
    <row r="27">
      <c r="A27" s="4" t="inlineStr">
        <is>
          <t>Cabbage</t>
        </is>
      </c>
      <c r="B27" s="4" t="inlineStr">
        <is>
          <t>Curled or distorted leaves</t>
        </is>
      </c>
      <c r="C27" s="4" t="inlineStr">
        <is>
          <t>Mealy Cabbage Aphid (Low)</t>
        </is>
      </c>
      <c r="D27" s="10" t="inlineStr">
        <is>
          <t>Low match</t>
        </is>
      </c>
      <c r="E27" s="10" t="n">
        <v>1</v>
      </c>
    </row>
    <row r="28">
      <c r="A28" s="4" t="inlineStr">
        <is>
          <t>Cabbage</t>
        </is>
      </c>
      <c r="B28" s="4" t="inlineStr">
        <is>
          <t>Yellowing leaves</t>
        </is>
      </c>
      <c r="C28" s="4" t="inlineStr">
        <is>
          <t>Mealy Cabbage Aphid (Low)</t>
        </is>
      </c>
      <c r="D28" s="10" t="inlineStr">
        <is>
          <t>Low match</t>
        </is>
      </c>
      <c r="E28" s="10" t="n">
        <v>1</v>
      </c>
    </row>
    <row r="29">
      <c r="A29" s="22" t="inlineStr">
        <is>
          <t>Cabbage</t>
        </is>
      </c>
      <c r="B29" s="22" t="inlineStr">
        <is>
          <t>Mottled leaves</t>
        </is>
      </c>
      <c r="C29" s="22" t="inlineStr">
        <is>
          <t>No pests match</t>
        </is>
      </c>
      <c r="D29" s="9" t="inlineStr">
        <is>
          <t>-</t>
        </is>
      </c>
      <c r="E29" s="9" t="n">
        <v>0</v>
      </c>
    </row>
    <row r="30">
      <c r="A30" s="22" t="inlineStr">
        <is>
          <t>Cabbage</t>
        </is>
      </c>
      <c r="B30" s="22" t="inlineStr">
        <is>
          <t>Silvery patches</t>
        </is>
      </c>
      <c r="C30" s="22" t="inlineStr">
        <is>
          <t>No pests match</t>
        </is>
      </c>
      <c r="D30" s="9" t="inlineStr">
        <is>
          <t>-</t>
        </is>
      </c>
      <c r="E30" s="9" t="n">
        <v>0</v>
      </c>
    </row>
    <row r="31">
      <c r="A31" s="22" t="inlineStr">
        <is>
          <t>Cabbage</t>
        </is>
      </c>
      <c r="B31" s="22" t="inlineStr">
        <is>
          <t>Fine webbing</t>
        </is>
      </c>
      <c r="C31" s="22" t="inlineStr">
        <is>
          <t>No pests match</t>
        </is>
      </c>
      <c r="D31" s="9" t="inlineStr">
        <is>
          <t>-</t>
        </is>
      </c>
      <c r="E31" s="9" t="n">
        <v>0</v>
      </c>
    </row>
    <row r="32">
      <c r="A32" s="4" t="inlineStr">
        <is>
          <t>Cabbage</t>
        </is>
      </c>
      <c r="B32" s="4" t="inlineStr">
        <is>
          <t>Stunted growth</t>
        </is>
      </c>
      <c r="C32" s="4" t="inlineStr">
        <is>
          <t>Cabbage Root Fly (Low)</t>
        </is>
      </c>
      <c r="D32" s="10" t="inlineStr">
        <is>
          <t>Low match</t>
        </is>
      </c>
      <c r="E32" s="10" t="n">
        <v>1</v>
      </c>
    </row>
    <row r="33">
      <c r="A33" s="4" t="inlineStr">
        <is>
          <t>Cabbage</t>
        </is>
      </c>
      <c r="B33" s="4" t="inlineStr">
        <is>
          <t>Wilting</t>
        </is>
      </c>
      <c r="C33" s="4" t="inlineStr">
        <is>
          <t>Cabbage Root Fly (Low)</t>
        </is>
      </c>
      <c r="D33" s="10" t="inlineStr">
        <is>
          <t>Low match</t>
        </is>
      </c>
      <c r="E33" s="10" t="n">
        <v>1</v>
      </c>
    </row>
    <row r="34">
      <c r="A34" s="4" t="inlineStr">
        <is>
          <t>Cabbage</t>
        </is>
      </c>
      <c r="B34" s="4" t="inlineStr">
        <is>
          <t>Tunnelled roots or tubers</t>
        </is>
      </c>
      <c r="C34" s="4" t="inlineStr">
        <is>
          <t>Cabbage Root Fly (Low), Slugs and Snails (Low)</t>
        </is>
      </c>
      <c r="D34" s="10" t="inlineStr">
        <is>
          <t>Low match</t>
        </is>
      </c>
      <c r="E34" s="10" t="n">
        <v>2</v>
      </c>
    </row>
    <row r="35">
      <c r="A35" s="22" t="inlineStr">
        <is>
          <t>Cabbage</t>
        </is>
      </c>
      <c r="B35" s="22" t="inlineStr">
        <is>
          <t>Notched leaf edges</t>
        </is>
      </c>
      <c r="C35" s="22" t="inlineStr">
        <is>
          <t>No pests match</t>
        </is>
      </c>
      <c r="D35" s="9" t="inlineStr">
        <is>
          <t>-</t>
        </is>
      </c>
      <c r="E35" s="9" t="n">
        <v>0</v>
      </c>
    </row>
    <row r="36">
      <c r="A36" s="4" t="inlineStr">
        <is>
          <t>Cabbage</t>
        </is>
      </c>
      <c r="B36" s="4" t="inlineStr">
        <is>
          <t>Slime trails</t>
        </is>
      </c>
      <c r="C36" s="4" t="inlineStr">
        <is>
          <t>Slugs and Snails (Low)</t>
        </is>
      </c>
      <c r="D36" s="10" t="inlineStr">
        <is>
          <t>Low match</t>
        </is>
      </c>
      <c r="E36" s="10" t="n">
        <v>1</v>
      </c>
    </row>
    <row r="37">
      <c r="A37" s="22" t="inlineStr">
        <is>
          <t>Cabbage</t>
        </is>
      </c>
      <c r="B37" s="22" t="inlineStr">
        <is>
          <t>Stems cut at soil level</t>
        </is>
      </c>
      <c r="C37" s="22" t="inlineStr">
        <is>
          <t>No pests match</t>
        </is>
      </c>
      <c r="D37" s="9" t="inlineStr">
        <is>
          <t>-</t>
        </is>
      </c>
      <c r="E37" s="9" t="n">
        <v>0</v>
      </c>
    </row>
    <row r="38">
      <c r="A38" s="4" t="inlineStr">
        <is>
          <t>Potato</t>
        </is>
      </c>
      <c r="B38" s="4" t="inlineStr">
        <is>
          <t>Holes in leaves</t>
        </is>
      </c>
      <c r="C38" s="4" t="inlineStr">
        <is>
          <t>Slugs and Snails (Low)</t>
        </is>
      </c>
      <c r="D38" s="10" t="inlineStr">
        <is>
          <t>Low match</t>
        </is>
      </c>
      <c r="E38" s="10" t="n">
        <v>1</v>
      </c>
    </row>
    <row r="39">
      <c r="A39" s="22" t="inlineStr">
        <is>
          <t>Potato</t>
        </is>
      </c>
      <c r="B39" s="22" t="inlineStr">
        <is>
          <t>Small insects on leaves</t>
        </is>
      </c>
      <c r="C39" s="22" t="inlineStr">
        <is>
          <t>No pests match</t>
        </is>
      </c>
      <c r="D39" s="9" t="inlineStr">
        <is>
          <t>-</t>
        </is>
      </c>
      <c r="E39" s="9" t="n">
        <v>0</v>
      </c>
    </row>
    <row r="40">
      <c r="A40" s="22" t="inlineStr">
        <is>
          <t>Potato</t>
        </is>
      </c>
      <c r="B40" s="22" t="inlineStr">
        <is>
          <t>Caterpillars on leaves</t>
        </is>
      </c>
      <c r="C40" s="22" t="inlineStr">
        <is>
          <t>No pests match</t>
        </is>
      </c>
      <c r="D40" s="9" t="inlineStr">
        <is>
          <t>-</t>
        </is>
      </c>
      <c r="E40" s="9" t="n">
        <v>0</v>
      </c>
    </row>
    <row r="41">
      <c r="A41" s="22" t="inlineStr">
        <is>
          <t>Potato</t>
        </is>
      </c>
      <c r="B41" s="22" t="inlineStr">
        <is>
          <t>Sticky residue</t>
        </is>
      </c>
      <c r="C41" s="22" t="inlineStr">
        <is>
          <t>No pests match</t>
        </is>
      </c>
      <c r="D41" s="9" t="inlineStr">
        <is>
          <t>-</t>
        </is>
      </c>
      <c r="E41" s="9" t="n">
        <v>0</v>
      </c>
    </row>
    <row r="42">
      <c r="A42" s="22" t="inlineStr">
        <is>
          <t>Potato</t>
        </is>
      </c>
      <c r="B42" s="22" t="inlineStr">
        <is>
          <t>Black sooty mould</t>
        </is>
      </c>
      <c r="C42" s="22" t="inlineStr">
        <is>
          <t>No pests match</t>
        </is>
      </c>
      <c r="D42" s="9" t="inlineStr">
        <is>
          <t>-</t>
        </is>
      </c>
      <c r="E42" s="9" t="n">
        <v>0</v>
      </c>
    </row>
    <row r="43">
      <c r="A43" s="22" t="inlineStr">
        <is>
          <t>Potato</t>
        </is>
      </c>
      <c r="B43" s="22" t="inlineStr">
        <is>
          <t>Curled or distorted leaves</t>
        </is>
      </c>
      <c r="C43" s="22" t="inlineStr">
        <is>
          <t>No pests match</t>
        </is>
      </c>
      <c r="D43" s="9" t="inlineStr">
        <is>
          <t>-</t>
        </is>
      </c>
      <c r="E43" s="9" t="n">
        <v>0</v>
      </c>
    </row>
    <row r="44">
      <c r="A44" s="4" t="inlineStr">
        <is>
          <t>Potato</t>
        </is>
      </c>
      <c r="B44" s="4" t="inlineStr">
        <is>
          <t>Yellowing leaves</t>
        </is>
      </c>
      <c r="C44" s="4" t="inlineStr">
        <is>
          <t>Potato Cyst Nematodes (Low)</t>
        </is>
      </c>
      <c r="D44" s="10" t="inlineStr">
        <is>
          <t>Low match</t>
        </is>
      </c>
      <c r="E44" s="10" t="n">
        <v>1</v>
      </c>
    </row>
    <row r="45">
      <c r="A45" s="22" t="inlineStr">
        <is>
          <t>Potato</t>
        </is>
      </c>
      <c r="B45" s="22" t="inlineStr">
        <is>
          <t>Mottled leaves</t>
        </is>
      </c>
      <c r="C45" s="22" t="inlineStr">
        <is>
          <t>No pests match</t>
        </is>
      </c>
      <c r="D45" s="9" t="inlineStr">
        <is>
          <t>-</t>
        </is>
      </c>
      <c r="E45" s="9" t="n">
        <v>0</v>
      </c>
    </row>
    <row r="46">
      <c r="A46" s="22" t="inlineStr">
        <is>
          <t>Potato</t>
        </is>
      </c>
      <c r="B46" s="22" t="inlineStr">
        <is>
          <t>Silvery patches</t>
        </is>
      </c>
      <c r="C46" s="22" t="inlineStr">
        <is>
          <t>No pests match</t>
        </is>
      </c>
      <c r="D46" s="9" t="inlineStr">
        <is>
          <t>-</t>
        </is>
      </c>
      <c r="E46" s="9" t="n">
        <v>0</v>
      </c>
    </row>
    <row r="47">
      <c r="A47" s="22" t="inlineStr">
        <is>
          <t>Potato</t>
        </is>
      </c>
      <c r="B47" s="22" t="inlineStr">
        <is>
          <t>Fine webbing</t>
        </is>
      </c>
      <c r="C47" s="22" t="inlineStr">
        <is>
          <t>No pests match</t>
        </is>
      </c>
      <c r="D47" s="9" t="inlineStr">
        <is>
          <t>-</t>
        </is>
      </c>
      <c r="E47" s="9" t="n">
        <v>0</v>
      </c>
    </row>
    <row r="48">
      <c r="A48" s="22" t="inlineStr">
        <is>
          <t>Potato</t>
        </is>
      </c>
      <c r="B48" s="22" t="inlineStr">
        <is>
          <t>Stunted growth</t>
        </is>
      </c>
      <c r="C48" s="22" t="inlineStr">
        <is>
          <t>No pests match</t>
        </is>
      </c>
      <c r="D48" s="9" t="inlineStr">
        <is>
          <t>-</t>
        </is>
      </c>
      <c r="E48" s="9" t="n">
        <v>0</v>
      </c>
    </row>
    <row r="49">
      <c r="A49" s="4" t="inlineStr">
        <is>
          <t>Potato</t>
        </is>
      </c>
      <c r="B49" s="4" t="inlineStr">
        <is>
          <t>Wilting</t>
        </is>
      </c>
      <c r="C49" s="4" t="inlineStr">
        <is>
          <t>Potato Cyst Nematodes (Low), Cutworms (Low)</t>
        </is>
      </c>
      <c r="D49" s="10" t="inlineStr">
        <is>
          <t>Low match</t>
        </is>
      </c>
      <c r="E49" s="10" t="n">
        <v>2</v>
      </c>
    </row>
    <row r="50">
      <c r="A50" s="4" t="inlineStr">
        <is>
          <t>Potato</t>
        </is>
      </c>
      <c r="B50" s="4" t="inlineStr">
        <is>
          <t>Tunnelled roots or tubers</t>
        </is>
      </c>
      <c r="C50" s="4" t="inlineStr">
        <is>
          <t>Wireworms (Low), Slugs and Snails (Low)</t>
        </is>
      </c>
      <c r="D50" s="10" t="inlineStr">
        <is>
          <t>Low match</t>
        </is>
      </c>
      <c r="E50" s="10" t="n">
        <v>2</v>
      </c>
    </row>
    <row r="51">
      <c r="A51" s="22" t="inlineStr">
        <is>
          <t>Potato</t>
        </is>
      </c>
      <c r="B51" s="22" t="inlineStr">
        <is>
          <t>Notched leaf edges</t>
        </is>
      </c>
      <c r="C51" s="22" t="inlineStr">
        <is>
          <t>No pests match</t>
        </is>
      </c>
      <c r="D51" s="9" t="inlineStr">
        <is>
          <t>-</t>
        </is>
      </c>
      <c r="E51" s="9" t="n">
        <v>0</v>
      </c>
    </row>
    <row r="52">
      <c r="A52" s="4" t="inlineStr">
        <is>
          <t>Potato</t>
        </is>
      </c>
      <c r="B52" s="4" t="inlineStr">
        <is>
          <t>Slime trails</t>
        </is>
      </c>
      <c r="C52" s="4" t="inlineStr">
        <is>
          <t>Slugs and Snails (Low)</t>
        </is>
      </c>
      <c r="D52" s="10" t="inlineStr">
        <is>
          <t>Low match</t>
        </is>
      </c>
      <c r="E52" s="10" t="n">
        <v>1</v>
      </c>
    </row>
    <row r="53">
      <c r="A53" s="4" t="inlineStr">
        <is>
          <t>Potato</t>
        </is>
      </c>
      <c r="B53" s="4" t="inlineStr">
        <is>
          <t>Stems cut at soil level</t>
        </is>
      </c>
      <c r="C53" s="4" t="inlineStr">
        <is>
          <t>Cutworms (Low)</t>
        </is>
      </c>
      <c r="D53" s="10" t="inlineStr">
        <is>
          <t>Low match</t>
        </is>
      </c>
      <c r="E53" s="10" t="n">
        <v>1</v>
      </c>
    </row>
    <row r="54">
      <c r="A54" s="4" t="inlineStr">
        <is>
          <t>Lettuce</t>
        </is>
      </c>
      <c r="B54" s="4" t="inlineStr">
        <is>
          <t>Holes in leaves</t>
        </is>
      </c>
      <c r="C54" s="4" t="inlineStr">
        <is>
          <t>Slugs and Snails (Low)</t>
        </is>
      </c>
      <c r="D54" s="10" t="inlineStr">
        <is>
          <t>Low match</t>
        </is>
      </c>
      <c r="E54" s="10" t="n">
        <v>1</v>
      </c>
    </row>
    <row r="55">
      <c r="A55" s="4" t="inlineStr">
        <is>
          <t>Lettuce</t>
        </is>
      </c>
      <c r="B55" s="4" t="inlineStr">
        <is>
          <t>Small insects on leaves</t>
        </is>
      </c>
      <c r="C55" s="4" t="inlineStr">
        <is>
          <t>Aphids (Low)</t>
        </is>
      </c>
      <c r="D55" s="10" t="inlineStr">
        <is>
          <t>Low match</t>
        </is>
      </c>
      <c r="E55" s="10" t="n">
        <v>1</v>
      </c>
    </row>
    <row r="56">
      <c r="A56" s="22" t="inlineStr">
        <is>
          <t>Lettuce</t>
        </is>
      </c>
      <c r="B56" s="22" t="inlineStr">
        <is>
          <t>Caterpillars on leaves</t>
        </is>
      </c>
      <c r="C56" s="22" t="inlineStr">
        <is>
          <t>No pests match</t>
        </is>
      </c>
      <c r="D56" s="9" t="inlineStr">
        <is>
          <t>-</t>
        </is>
      </c>
      <c r="E56" s="9" t="n">
        <v>0</v>
      </c>
    </row>
    <row r="57">
      <c r="A57" s="4" t="inlineStr">
        <is>
          <t>Lettuce</t>
        </is>
      </c>
      <c r="B57" s="4" t="inlineStr">
        <is>
          <t>Sticky residue</t>
        </is>
      </c>
      <c r="C57" s="4" t="inlineStr">
        <is>
          <t>Aphids (Low)</t>
        </is>
      </c>
      <c r="D57" s="10" t="inlineStr">
        <is>
          <t>Low match</t>
        </is>
      </c>
      <c r="E57" s="10" t="n">
        <v>1</v>
      </c>
    </row>
    <row r="58">
      <c r="A58" s="22" t="inlineStr">
        <is>
          <t>Lettuce</t>
        </is>
      </c>
      <c r="B58" s="22" t="inlineStr">
        <is>
          <t>Black sooty mould</t>
        </is>
      </c>
      <c r="C58" s="22" t="inlineStr">
        <is>
          <t>No pests match</t>
        </is>
      </c>
      <c r="D58" s="9" t="inlineStr">
        <is>
          <t>-</t>
        </is>
      </c>
      <c r="E58" s="9" t="n">
        <v>0</v>
      </c>
    </row>
    <row r="59">
      <c r="A59" s="4" t="inlineStr">
        <is>
          <t>Lettuce</t>
        </is>
      </c>
      <c r="B59" s="4" t="inlineStr">
        <is>
          <t>Curled or distorted leaves</t>
        </is>
      </c>
      <c r="C59" s="4" t="inlineStr">
        <is>
          <t>Aphids (Low)</t>
        </is>
      </c>
      <c r="D59" s="10" t="inlineStr">
        <is>
          <t>Low match</t>
        </is>
      </c>
      <c r="E59" s="10" t="n">
        <v>1</v>
      </c>
    </row>
    <row r="60">
      <c r="A60" s="22" t="inlineStr">
        <is>
          <t>Lettuce</t>
        </is>
      </c>
      <c r="B60" s="22" t="inlineStr">
        <is>
          <t>Yellowing leaves</t>
        </is>
      </c>
      <c r="C60" s="22" t="inlineStr">
        <is>
          <t>No pests match</t>
        </is>
      </c>
      <c r="D60" s="9" t="inlineStr">
        <is>
          <t>-</t>
        </is>
      </c>
      <c r="E60" s="9" t="n">
        <v>0</v>
      </c>
    </row>
    <row r="61">
      <c r="A61" s="22" t="inlineStr">
        <is>
          <t>Lettuce</t>
        </is>
      </c>
      <c r="B61" s="22" t="inlineStr">
        <is>
          <t>Mottled leaves</t>
        </is>
      </c>
      <c r="C61" s="22" t="inlineStr">
        <is>
          <t>No pests match</t>
        </is>
      </c>
      <c r="D61" s="9" t="inlineStr">
        <is>
          <t>-</t>
        </is>
      </c>
      <c r="E61" s="9" t="n">
        <v>0</v>
      </c>
    </row>
    <row r="62">
      <c r="A62" s="22" t="inlineStr">
        <is>
          <t>Lettuce</t>
        </is>
      </c>
      <c r="B62" s="22" t="inlineStr">
        <is>
          <t>Silvery patches</t>
        </is>
      </c>
      <c r="C62" s="22" t="inlineStr">
        <is>
          <t>No pests match</t>
        </is>
      </c>
      <c r="D62" s="9" t="inlineStr">
        <is>
          <t>-</t>
        </is>
      </c>
      <c r="E62" s="9" t="n">
        <v>0</v>
      </c>
    </row>
    <row r="63">
      <c r="A63" s="22" t="inlineStr">
        <is>
          <t>Lettuce</t>
        </is>
      </c>
      <c r="B63" s="22" t="inlineStr">
        <is>
          <t>Fine webbing</t>
        </is>
      </c>
      <c r="C63" s="22" t="inlineStr">
        <is>
          <t>No pests match</t>
        </is>
      </c>
      <c r="D63" s="9" t="inlineStr">
        <is>
          <t>-</t>
        </is>
      </c>
      <c r="E63" s="9" t="n">
        <v>0</v>
      </c>
    </row>
    <row r="64">
      <c r="A64" s="4" t="inlineStr">
        <is>
          <t>Lettuce</t>
        </is>
      </c>
      <c r="B64" s="4" t="inlineStr">
        <is>
          <t>Stunted growth</t>
        </is>
      </c>
      <c r="C64" s="4" t="inlineStr">
        <is>
          <t>Aphids (Low)</t>
        </is>
      </c>
      <c r="D64" s="10" t="inlineStr">
        <is>
          <t>Low match</t>
        </is>
      </c>
      <c r="E64" s="10" t="n">
        <v>1</v>
      </c>
    </row>
    <row r="65">
      <c r="A65" s="4" t="inlineStr">
        <is>
          <t>Lettuce</t>
        </is>
      </c>
      <c r="B65" s="4" t="inlineStr">
        <is>
          <t>Wilting</t>
        </is>
      </c>
      <c r="C65" s="4" t="inlineStr">
        <is>
          <t>Cutworms (Low)</t>
        </is>
      </c>
      <c r="D65" s="10" t="inlineStr">
        <is>
          <t>Low match</t>
        </is>
      </c>
      <c r="E65" s="10" t="n">
        <v>1</v>
      </c>
    </row>
    <row r="66">
      <c r="A66" s="4" t="inlineStr">
        <is>
          <t>Lettuce</t>
        </is>
      </c>
      <c r="B66" s="4" t="inlineStr">
        <is>
          <t>Tunnelled roots or tubers</t>
        </is>
      </c>
      <c r="C66" s="4" t="inlineStr">
        <is>
          <t>Slugs and Snails (Low)</t>
        </is>
      </c>
      <c r="D66" s="10" t="inlineStr">
        <is>
          <t>Low match</t>
        </is>
      </c>
      <c r="E66" s="10" t="n">
        <v>1</v>
      </c>
    </row>
    <row r="67">
      <c r="A67" s="22" t="inlineStr">
        <is>
          <t>Lettuce</t>
        </is>
      </c>
      <c r="B67" s="22" t="inlineStr">
        <is>
          <t>Notched leaf edges</t>
        </is>
      </c>
      <c r="C67" s="22" t="inlineStr">
        <is>
          <t>No pests match</t>
        </is>
      </c>
      <c r="D67" s="9" t="inlineStr">
        <is>
          <t>-</t>
        </is>
      </c>
      <c r="E67" s="9" t="n">
        <v>0</v>
      </c>
    </row>
    <row r="68">
      <c r="A68" s="4" t="inlineStr">
        <is>
          <t>Lettuce</t>
        </is>
      </c>
      <c r="B68" s="4" t="inlineStr">
        <is>
          <t>Slime trails</t>
        </is>
      </c>
      <c r="C68" s="4" t="inlineStr">
        <is>
          <t>Slugs and Snails (Low)</t>
        </is>
      </c>
      <c r="D68" s="10" t="inlineStr">
        <is>
          <t>Low match</t>
        </is>
      </c>
      <c r="E68" s="10" t="n">
        <v>1</v>
      </c>
    </row>
    <row r="69">
      <c r="A69" s="4" t="inlineStr">
        <is>
          <t>Lettuce</t>
        </is>
      </c>
      <c r="B69" s="4" t="inlineStr">
        <is>
          <t>Stems cut at soil level</t>
        </is>
      </c>
      <c r="C69" s="4" t="inlineStr">
        <is>
          <t>Cutworms (Low)</t>
        </is>
      </c>
      <c r="D69" s="10" t="inlineStr">
        <is>
          <t>Low match</t>
        </is>
      </c>
      <c r="E69" s="10" t="n">
        <v>1</v>
      </c>
    </row>
    <row r="70">
      <c r="A70" s="22" t="inlineStr">
        <is>
          <t>Pepper</t>
        </is>
      </c>
      <c r="B70" s="22" t="inlineStr">
        <is>
          <t>Holes in leaves</t>
        </is>
      </c>
      <c r="C70" s="22" t="inlineStr">
        <is>
          <t>No pests match</t>
        </is>
      </c>
      <c r="D70" s="9" t="inlineStr">
        <is>
          <t>-</t>
        </is>
      </c>
      <c r="E70" s="9" t="n">
        <v>0</v>
      </c>
    </row>
    <row r="71">
      <c r="A71" s="4" t="inlineStr">
        <is>
          <t>Pepper</t>
        </is>
      </c>
      <c r="B71" s="4" t="inlineStr">
        <is>
          <t>Small insects on leaves</t>
        </is>
      </c>
      <c r="C71" s="4" t="inlineStr">
        <is>
          <t>Glasshouse Whitefly (Low), Aphids (Low)</t>
        </is>
      </c>
      <c r="D71" s="10" t="inlineStr">
        <is>
          <t>Low match</t>
        </is>
      </c>
      <c r="E71" s="10" t="n">
        <v>2</v>
      </c>
    </row>
    <row r="72">
      <c r="A72" s="22" t="inlineStr">
        <is>
          <t>Pepper</t>
        </is>
      </c>
      <c r="B72" s="22" t="inlineStr">
        <is>
          <t>Caterpillars on leaves</t>
        </is>
      </c>
      <c r="C72" s="22" t="inlineStr">
        <is>
          <t>No pests match</t>
        </is>
      </c>
      <c r="D72" s="9" t="inlineStr">
        <is>
          <t>-</t>
        </is>
      </c>
      <c r="E72" s="9" t="n">
        <v>0</v>
      </c>
    </row>
    <row r="73">
      <c r="A73" s="4" t="inlineStr">
        <is>
          <t>Pepper</t>
        </is>
      </c>
      <c r="B73" s="4" t="inlineStr">
        <is>
          <t>Sticky residue</t>
        </is>
      </c>
      <c r="C73" s="4" t="inlineStr">
        <is>
          <t>Glasshouse Whitefly (Low), Aphids (Low)</t>
        </is>
      </c>
      <c r="D73" s="10" t="inlineStr">
        <is>
          <t>Low match</t>
        </is>
      </c>
      <c r="E73" s="10" t="n">
        <v>2</v>
      </c>
    </row>
    <row r="74">
      <c r="A74" s="4" t="inlineStr">
        <is>
          <t>Pepper</t>
        </is>
      </c>
      <c r="B74" s="4" t="inlineStr">
        <is>
          <t>Black sooty mould</t>
        </is>
      </c>
      <c r="C74" s="4" t="inlineStr">
        <is>
          <t>Glasshouse Whitefly (Low)</t>
        </is>
      </c>
      <c r="D74" s="10" t="inlineStr">
        <is>
          <t>Low match</t>
        </is>
      </c>
      <c r="E74" s="10" t="n">
        <v>1</v>
      </c>
    </row>
    <row r="75">
      <c r="A75" s="4" t="inlineStr">
        <is>
          <t>Pepper</t>
        </is>
      </c>
      <c r="B75" s="4" t="inlineStr">
        <is>
          <t>Curled or distorted leaves</t>
        </is>
      </c>
      <c r="C75" s="4" t="inlineStr">
        <is>
          <t>Aphids (Low)</t>
        </is>
      </c>
      <c r="D75" s="10" t="inlineStr">
        <is>
          <t>Low match</t>
        </is>
      </c>
      <c r="E75" s="10" t="n">
        <v>1</v>
      </c>
    </row>
    <row r="76">
      <c r="A76" s="22" t="inlineStr">
        <is>
          <t>Pepper</t>
        </is>
      </c>
      <c r="B76" s="22" t="inlineStr">
        <is>
          <t>Yellowing leaves</t>
        </is>
      </c>
      <c r="C76" s="22" t="inlineStr">
        <is>
          <t>No pests match</t>
        </is>
      </c>
      <c r="D76" s="9" t="inlineStr">
        <is>
          <t>-</t>
        </is>
      </c>
      <c r="E76" s="9" t="n">
        <v>0</v>
      </c>
    </row>
    <row r="77">
      <c r="A77" s="4" t="inlineStr">
        <is>
          <t>Pepper</t>
        </is>
      </c>
      <c r="B77" s="4" t="inlineStr">
        <is>
          <t>Mottled leaves</t>
        </is>
      </c>
      <c r="C77" s="4" t="inlineStr">
        <is>
          <t>Red Spider Mite (Low)</t>
        </is>
      </c>
      <c r="D77" s="10" t="inlineStr">
        <is>
          <t>Low match</t>
        </is>
      </c>
      <c r="E77" s="10" t="n">
        <v>1</v>
      </c>
    </row>
    <row r="78">
      <c r="A78" s="22" t="inlineStr">
        <is>
          <t>Pepper</t>
        </is>
      </c>
      <c r="B78" s="22" t="inlineStr">
        <is>
          <t>Silvery patches</t>
        </is>
      </c>
      <c r="C78" s="22" t="inlineStr">
        <is>
          <t>No pests match</t>
        </is>
      </c>
      <c r="D78" s="9" t="inlineStr">
        <is>
          <t>-</t>
        </is>
      </c>
      <c r="E78" s="9" t="n">
        <v>0</v>
      </c>
    </row>
    <row r="79">
      <c r="A79" s="4" t="inlineStr">
        <is>
          <t>Pepper</t>
        </is>
      </c>
      <c r="B79" s="4" t="inlineStr">
        <is>
          <t>Fine webbing</t>
        </is>
      </c>
      <c r="C79" s="4" t="inlineStr">
        <is>
          <t>Red Spider Mite (Low)</t>
        </is>
      </c>
      <c r="D79" s="10" t="inlineStr">
        <is>
          <t>Low match</t>
        </is>
      </c>
      <c r="E79" s="10" t="n">
        <v>1</v>
      </c>
    </row>
    <row r="80">
      <c r="A80" s="4" t="inlineStr">
        <is>
          <t>Pepper</t>
        </is>
      </c>
      <c r="B80" s="4" t="inlineStr">
        <is>
          <t>Stunted growth</t>
        </is>
      </c>
      <c r="C80" s="4" t="inlineStr">
        <is>
          <t>Aphids (Low)</t>
        </is>
      </c>
      <c r="D80" s="10" t="inlineStr">
        <is>
          <t>Low match</t>
        </is>
      </c>
      <c r="E80" s="10" t="n">
        <v>1</v>
      </c>
    </row>
    <row r="81">
      <c r="A81" s="22" t="inlineStr">
        <is>
          <t>Pepper</t>
        </is>
      </c>
      <c r="B81" s="22" t="inlineStr">
        <is>
          <t>Wilting</t>
        </is>
      </c>
      <c r="C81" s="22" t="inlineStr">
        <is>
          <t>No pests match</t>
        </is>
      </c>
      <c r="D81" s="9" t="inlineStr">
        <is>
          <t>-</t>
        </is>
      </c>
      <c r="E81" s="9" t="n">
        <v>0</v>
      </c>
    </row>
    <row r="82">
      <c r="A82" s="22" t="inlineStr">
        <is>
          <t>Pepper</t>
        </is>
      </c>
      <c r="B82" s="22" t="inlineStr">
        <is>
          <t>Tunnelled roots or tubers</t>
        </is>
      </c>
      <c r="C82" s="22" t="inlineStr">
        <is>
          <t>No pests match</t>
        </is>
      </c>
      <c r="D82" s="9" t="inlineStr">
        <is>
          <t>-</t>
        </is>
      </c>
      <c r="E82" s="9" t="n">
        <v>0</v>
      </c>
    </row>
    <row r="83">
      <c r="A83" s="22" t="inlineStr">
        <is>
          <t>Pepper</t>
        </is>
      </c>
      <c r="B83" s="22" t="inlineStr">
        <is>
          <t>Notched leaf edges</t>
        </is>
      </c>
      <c r="C83" s="22" t="inlineStr">
        <is>
          <t>No pests match</t>
        </is>
      </c>
      <c r="D83" s="9" t="inlineStr">
        <is>
          <t>-</t>
        </is>
      </c>
      <c r="E83" s="9" t="n">
        <v>0</v>
      </c>
    </row>
    <row r="84">
      <c r="A84" s="22" t="inlineStr">
        <is>
          <t>Pepper</t>
        </is>
      </c>
      <c r="B84" s="22" t="inlineStr">
        <is>
          <t>Slime trails</t>
        </is>
      </c>
      <c r="C84" s="22" t="inlineStr">
        <is>
          <t>No pests match</t>
        </is>
      </c>
      <c r="D84" s="9" t="inlineStr">
        <is>
          <t>-</t>
        </is>
      </c>
      <c r="E84" s="9" t="n">
        <v>0</v>
      </c>
    </row>
    <row r="85">
      <c r="A85" s="22" t="inlineStr">
        <is>
          <t>Pepper</t>
        </is>
      </c>
      <c r="B85" s="22" t="inlineStr">
        <is>
          <t>Stems cut at soil level</t>
        </is>
      </c>
      <c r="C85" s="22" t="inlineStr">
        <is>
          <t>No pests match</t>
        </is>
      </c>
      <c r="D85" s="9" t="inlineStr">
        <is>
          <t>-</t>
        </is>
      </c>
      <c r="E85" s="9" t="n">
        <v>0</v>
      </c>
    </row>
    <row r="86">
      <c r="A86" s="4" t="inlineStr">
        <is>
          <t>Cucumber</t>
        </is>
      </c>
      <c r="B86" s="4" t="inlineStr">
        <is>
          <t>Holes in leaves</t>
        </is>
      </c>
      <c r="C86" s="4" t="inlineStr">
        <is>
          <t>Slugs and Snails (Low)</t>
        </is>
      </c>
      <c r="D86" s="10" t="inlineStr">
        <is>
          <t>Low match</t>
        </is>
      </c>
      <c r="E86" s="10" t="n">
        <v>1</v>
      </c>
    </row>
    <row r="87">
      <c r="A87" s="4" t="inlineStr">
        <is>
          <t>Cucumber</t>
        </is>
      </c>
      <c r="B87" s="4" t="inlineStr">
        <is>
          <t>Small insects on leaves</t>
        </is>
      </c>
      <c r="C87" s="4" t="inlineStr">
        <is>
          <t>Glasshouse Whitefly (Low), Aphids (Low)</t>
        </is>
      </c>
      <c r="D87" s="10" t="inlineStr">
        <is>
          <t>Low match</t>
        </is>
      </c>
      <c r="E87" s="10" t="n">
        <v>2</v>
      </c>
    </row>
    <row r="88">
      <c r="A88" s="22" t="inlineStr">
        <is>
          <t>Cucumber</t>
        </is>
      </c>
      <c r="B88" s="22" t="inlineStr">
        <is>
          <t>Caterpillars on leaves</t>
        </is>
      </c>
      <c r="C88" s="22" t="inlineStr">
        <is>
          <t>No pests match</t>
        </is>
      </c>
      <c r="D88" s="9" t="inlineStr">
        <is>
          <t>-</t>
        </is>
      </c>
      <c r="E88" s="9" t="n">
        <v>0</v>
      </c>
    </row>
    <row r="89">
      <c r="A89" s="4" t="inlineStr">
        <is>
          <t>Cucumber</t>
        </is>
      </c>
      <c r="B89" s="4" t="inlineStr">
        <is>
          <t>Sticky residue</t>
        </is>
      </c>
      <c r="C89" s="4" t="inlineStr">
        <is>
          <t>Glasshouse Whitefly (Low), Aphids (Low)</t>
        </is>
      </c>
      <c r="D89" s="10" t="inlineStr">
        <is>
          <t>Low match</t>
        </is>
      </c>
      <c r="E89" s="10" t="n">
        <v>2</v>
      </c>
    </row>
    <row r="90">
      <c r="A90" s="4" t="inlineStr">
        <is>
          <t>Cucumber</t>
        </is>
      </c>
      <c r="B90" s="4" t="inlineStr">
        <is>
          <t>Black sooty mould</t>
        </is>
      </c>
      <c r="C90" s="4" t="inlineStr">
        <is>
          <t>Glasshouse Whitefly (Low)</t>
        </is>
      </c>
      <c r="D90" s="10" t="inlineStr">
        <is>
          <t>Low match</t>
        </is>
      </c>
      <c r="E90" s="10" t="n">
        <v>1</v>
      </c>
    </row>
    <row r="91">
      <c r="A91" s="4" t="inlineStr">
        <is>
          <t>Cucumber</t>
        </is>
      </c>
      <c r="B91" s="4" t="inlineStr">
        <is>
          <t>Curled or distorted leaves</t>
        </is>
      </c>
      <c r="C91" s="4" t="inlineStr">
        <is>
          <t>Aphids (Low), Thrips (Low)</t>
        </is>
      </c>
      <c r="D91" s="10" t="inlineStr">
        <is>
          <t>Low match</t>
        </is>
      </c>
      <c r="E91" s="10" t="n">
        <v>2</v>
      </c>
    </row>
    <row r="92">
      <c r="A92" s="22" t="inlineStr">
        <is>
          <t>Cucumber</t>
        </is>
      </c>
      <c r="B92" s="22" t="inlineStr">
        <is>
          <t>Yellowing leaves</t>
        </is>
      </c>
      <c r="C92" s="22" t="inlineStr">
        <is>
          <t>No pests match</t>
        </is>
      </c>
      <c r="D92" s="9" t="inlineStr">
        <is>
          <t>-</t>
        </is>
      </c>
      <c r="E92" s="9" t="n">
        <v>0</v>
      </c>
    </row>
    <row r="93">
      <c r="A93" s="4" t="inlineStr">
        <is>
          <t>Cucumber</t>
        </is>
      </c>
      <c r="B93" s="4" t="inlineStr">
        <is>
          <t>Mottled leaves</t>
        </is>
      </c>
      <c r="C93" s="4" t="inlineStr">
        <is>
          <t>Red Spider Mite (Low), Thrips (Low)</t>
        </is>
      </c>
      <c r="D93" s="10" t="inlineStr">
        <is>
          <t>Low match</t>
        </is>
      </c>
      <c r="E93" s="10" t="n">
        <v>2</v>
      </c>
    </row>
    <row r="94">
      <c r="A94" s="4" t="inlineStr">
        <is>
          <t>Cucumber</t>
        </is>
      </c>
      <c r="B94" s="4" t="inlineStr">
        <is>
          <t>Silvery patches</t>
        </is>
      </c>
      <c r="C94" s="4" t="inlineStr">
        <is>
          <t>Thrips (Low)</t>
        </is>
      </c>
      <c r="D94" s="10" t="inlineStr">
        <is>
          <t>Low match</t>
        </is>
      </c>
      <c r="E94" s="10" t="n">
        <v>1</v>
      </c>
    </row>
    <row r="95">
      <c r="A95" s="4" t="inlineStr">
        <is>
          <t>Cucumber</t>
        </is>
      </c>
      <c r="B95" s="4" t="inlineStr">
        <is>
          <t>Fine webbing</t>
        </is>
      </c>
      <c r="C95" s="4" t="inlineStr">
        <is>
          <t>Red Spider Mite (Low)</t>
        </is>
      </c>
      <c r="D95" s="10" t="inlineStr">
        <is>
          <t>Low match</t>
        </is>
      </c>
      <c r="E95" s="10" t="n">
        <v>1</v>
      </c>
    </row>
    <row r="96">
      <c r="A96" s="4" t="inlineStr">
        <is>
          <t>Cucumber</t>
        </is>
      </c>
      <c r="B96" s="4" t="inlineStr">
        <is>
          <t>Stunted growth</t>
        </is>
      </c>
      <c r="C96" s="4" t="inlineStr">
        <is>
          <t>Aphids (Low), Thrips (Low)</t>
        </is>
      </c>
      <c r="D96" s="10" t="inlineStr">
        <is>
          <t>Low match</t>
        </is>
      </c>
      <c r="E96" s="10" t="n">
        <v>2</v>
      </c>
    </row>
    <row r="97">
      <c r="A97" s="22" t="inlineStr">
        <is>
          <t>Cucumber</t>
        </is>
      </c>
      <c r="B97" s="22" t="inlineStr">
        <is>
          <t>Wilting</t>
        </is>
      </c>
      <c r="C97" s="22" t="inlineStr">
        <is>
          <t>No pests match</t>
        </is>
      </c>
      <c r="D97" s="9" t="inlineStr">
        <is>
          <t>-</t>
        </is>
      </c>
      <c r="E97" s="9" t="n">
        <v>0</v>
      </c>
    </row>
    <row r="98">
      <c r="A98" s="4" t="inlineStr">
        <is>
          <t>Cucumber</t>
        </is>
      </c>
      <c r="B98" s="4" t="inlineStr">
        <is>
          <t>Tunnelled roots or tubers</t>
        </is>
      </c>
      <c r="C98" s="4" t="inlineStr">
        <is>
          <t>Slugs and Snails (Low)</t>
        </is>
      </c>
      <c r="D98" s="10" t="inlineStr">
        <is>
          <t>Low match</t>
        </is>
      </c>
      <c r="E98" s="10" t="n">
        <v>1</v>
      </c>
    </row>
    <row r="99">
      <c r="A99" s="22" t="inlineStr">
        <is>
          <t>Cucumber</t>
        </is>
      </c>
      <c r="B99" s="22" t="inlineStr">
        <is>
          <t>Notched leaf edges</t>
        </is>
      </c>
      <c r="C99" s="22" t="inlineStr">
        <is>
          <t>No pests match</t>
        </is>
      </c>
      <c r="D99" s="9" t="inlineStr">
        <is>
          <t>-</t>
        </is>
      </c>
      <c r="E99" s="9" t="n">
        <v>0</v>
      </c>
    </row>
    <row r="100">
      <c r="A100" s="4" t="inlineStr">
        <is>
          <t>Cucumber</t>
        </is>
      </c>
      <c r="B100" s="4" t="inlineStr">
        <is>
          <t>Slime trails</t>
        </is>
      </c>
      <c r="C100" s="4" t="inlineStr">
        <is>
          <t>Slugs and Snails (Low)</t>
        </is>
      </c>
      <c r="D100" s="10" t="inlineStr">
        <is>
          <t>Low match</t>
        </is>
      </c>
      <c r="E100" s="10" t="n">
        <v>1</v>
      </c>
    </row>
    <row r="101">
      <c r="A101" s="22" t="inlineStr">
        <is>
          <t>Cucumber</t>
        </is>
      </c>
      <c r="B101" s="22" t="inlineStr">
        <is>
          <t>Stems cut at soil level</t>
        </is>
      </c>
      <c r="C101" s="22" t="inlineStr">
        <is>
          <t>No pests match</t>
        </is>
      </c>
      <c r="D101" s="9" t="inlineStr">
        <is>
          <t>-</t>
        </is>
      </c>
      <c r="E101" s="9" t="n">
        <v>0</v>
      </c>
    </row>
    <row r="102">
      <c r="A102" s="4" t="inlineStr">
        <is>
          <t>Strawberry</t>
        </is>
      </c>
      <c r="B102" s="4" t="inlineStr">
        <is>
          <t>Holes in leaves</t>
        </is>
      </c>
      <c r="C102" s="4" t="inlineStr">
        <is>
          <t>Slugs and Snails (Low)</t>
        </is>
      </c>
      <c r="D102" s="10" t="inlineStr">
        <is>
          <t>Low match</t>
        </is>
      </c>
      <c r="E102" s="10" t="n">
        <v>1</v>
      </c>
    </row>
    <row r="103">
      <c r="A103" s="4" t="inlineStr">
        <is>
          <t>Strawberry</t>
        </is>
      </c>
      <c r="B103" s="4" t="inlineStr">
        <is>
          <t>Small insects on leaves</t>
        </is>
      </c>
      <c r="C103" s="4" t="inlineStr">
        <is>
          <t>Aphids (Low)</t>
        </is>
      </c>
      <c r="D103" s="10" t="inlineStr">
        <is>
          <t>Low match</t>
        </is>
      </c>
      <c r="E103" s="10" t="n">
        <v>1</v>
      </c>
    </row>
    <row r="104">
      <c r="A104" s="22" t="inlineStr">
        <is>
          <t>Strawberry</t>
        </is>
      </c>
      <c r="B104" s="22" t="inlineStr">
        <is>
          <t>Caterpillars on leaves</t>
        </is>
      </c>
      <c r="C104" s="22" t="inlineStr">
        <is>
          <t>No pests match</t>
        </is>
      </c>
      <c r="D104" s="9" t="inlineStr">
        <is>
          <t>-</t>
        </is>
      </c>
      <c r="E104" s="9" t="n">
        <v>0</v>
      </c>
    </row>
    <row r="105">
      <c r="A105" s="4" t="inlineStr">
        <is>
          <t>Strawberry</t>
        </is>
      </c>
      <c r="B105" s="4" t="inlineStr">
        <is>
          <t>Sticky residue</t>
        </is>
      </c>
      <c r="C105" s="4" t="inlineStr">
        <is>
          <t>Aphids (Low)</t>
        </is>
      </c>
      <c r="D105" s="10" t="inlineStr">
        <is>
          <t>Low match</t>
        </is>
      </c>
      <c r="E105" s="10" t="n">
        <v>1</v>
      </c>
    </row>
    <row r="106">
      <c r="A106" s="22" t="inlineStr">
        <is>
          <t>Strawberry</t>
        </is>
      </c>
      <c r="B106" s="22" t="inlineStr">
        <is>
          <t>Black sooty mould</t>
        </is>
      </c>
      <c r="C106" s="22" t="inlineStr">
        <is>
          <t>No pests match</t>
        </is>
      </c>
      <c r="D106" s="9" t="inlineStr">
        <is>
          <t>-</t>
        </is>
      </c>
      <c r="E106" s="9" t="n">
        <v>0</v>
      </c>
    </row>
    <row r="107">
      <c r="A107" s="4" t="inlineStr">
        <is>
          <t>Strawberry</t>
        </is>
      </c>
      <c r="B107" s="4" t="inlineStr">
        <is>
          <t>Curled or distorted leaves</t>
        </is>
      </c>
      <c r="C107" s="4" t="inlineStr">
        <is>
          <t>Aphids (Low)</t>
        </is>
      </c>
      <c r="D107" s="10" t="inlineStr">
        <is>
          <t>Low match</t>
        </is>
      </c>
      <c r="E107" s="10" t="n">
        <v>1</v>
      </c>
    </row>
    <row r="108">
      <c r="A108" s="22" t="inlineStr">
        <is>
          <t>Strawberry</t>
        </is>
      </c>
      <c r="B108" s="22" t="inlineStr">
        <is>
          <t>Yellowing leaves</t>
        </is>
      </c>
      <c r="C108" s="22" t="inlineStr">
        <is>
          <t>No pests match</t>
        </is>
      </c>
      <c r="D108" s="9" t="inlineStr">
        <is>
          <t>-</t>
        </is>
      </c>
      <c r="E108" s="9" t="n">
        <v>0</v>
      </c>
    </row>
    <row r="109">
      <c r="A109" s="22" t="inlineStr">
        <is>
          <t>Strawberry</t>
        </is>
      </c>
      <c r="B109" s="22" t="inlineStr">
        <is>
          <t>Mottled leaves</t>
        </is>
      </c>
      <c r="C109" s="22" t="inlineStr">
        <is>
          <t>No pests match</t>
        </is>
      </c>
      <c r="D109" s="9" t="inlineStr">
        <is>
          <t>-</t>
        </is>
      </c>
      <c r="E109" s="9" t="n">
        <v>0</v>
      </c>
    </row>
    <row r="110">
      <c r="A110" s="22" t="inlineStr">
        <is>
          <t>Strawberry</t>
        </is>
      </c>
      <c r="B110" s="22" t="inlineStr">
        <is>
          <t>Silvery patches</t>
        </is>
      </c>
      <c r="C110" s="22" t="inlineStr">
        <is>
          <t>No pests match</t>
        </is>
      </c>
      <c r="D110" s="9" t="inlineStr">
        <is>
          <t>-</t>
        </is>
      </c>
      <c r="E110" s="9" t="n">
        <v>0</v>
      </c>
    </row>
    <row r="111">
      <c r="A111" s="22" t="inlineStr">
        <is>
          <t>Strawberry</t>
        </is>
      </c>
      <c r="B111" s="22" t="inlineStr">
        <is>
          <t>Fine webbing</t>
        </is>
      </c>
      <c r="C111" s="22" t="inlineStr">
        <is>
          <t>No pests match</t>
        </is>
      </c>
      <c r="D111" s="9" t="inlineStr">
        <is>
          <t>-</t>
        </is>
      </c>
      <c r="E111" s="9" t="n">
        <v>0</v>
      </c>
    </row>
    <row r="112">
      <c r="A112" s="4" t="inlineStr">
        <is>
          <t>Strawberry</t>
        </is>
      </c>
      <c r="B112" s="4" t="inlineStr">
        <is>
          <t>Stunted growth</t>
        </is>
      </c>
      <c r="C112" s="4" t="inlineStr">
        <is>
          <t>Aphids (Low)</t>
        </is>
      </c>
      <c r="D112" s="10" t="inlineStr">
        <is>
          <t>Low match</t>
        </is>
      </c>
      <c r="E112" s="10" t="n">
        <v>1</v>
      </c>
    </row>
    <row r="113">
      <c r="A113" s="4" t="inlineStr">
        <is>
          <t>Strawberry</t>
        </is>
      </c>
      <c r="B113" s="4" t="inlineStr">
        <is>
          <t>Wilting</t>
        </is>
      </c>
      <c r="C113" s="4" t="inlineStr">
        <is>
          <t>Vine Weevil (Low)</t>
        </is>
      </c>
      <c r="D113" s="10" t="inlineStr">
        <is>
          <t>Low match</t>
        </is>
      </c>
      <c r="E113" s="10" t="n">
        <v>1</v>
      </c>
    </row>
    <row r="114">
      <c r="A114" s="4" t="inlineStr">
        <is>
          <t>Strawberry</t>
        </is>
      </c>
      <c r="B114" s="4" t="inlineStr">
        <is>
          <t>Tunnelled roots or tubers</t>
        </is>
      </c>
      <c r="C114" s="4" t="inlineStr">
        <is>
          <t>Slugs and Snails (Low)</t>
        </is>
      </c>
      <c r="D114" s="10" t="inlineStr">
        <is>
          <t>Low match</t>
        </is>
      </c>
      <c r="E114" s="10" t="n">
        <v>1</v>
      </c>
    </row>
    <row r="115">
      <c r="A115" s="4" t="inlineStr">
        <is>
          <t>Strawberry</t>
        </is>
      </c>
      <c r="B115" s="4" t="inlineStr">
        <is>
          <t>Notched leaf edges</t>
        </is>
      </c>
      <c r="C115" s="4" t="inlineStr">
        <is>
          <t>Vine Weevil (Low)</t>
        </is>
      </c>
      <c r="D115" s="10" t="inlineStr">
        <is>
          <t>Low match</t>
        </is>
      </c>
      <c r="E115" s="10" t="n">
        <v>1</v>
      </c>
    </row>
    <row r="116">
      <c r="A116" s="4" t="inlineStr">
        <is>
          <t>Strawberry</t>
        </is>
      </c>
      <c r="B116" s="4" t="inlineStr">
        <is>
          <t>Slime trails</t>
        </is>
      </c>
      <c r="C116" s="4" t="inlineStr">
        <is>
          <t>Slugs and Snails (Low)</t>
        </is>
      </c>
      <c r="D116" s="10" t="inlineStr">
        <is>
          <t>Low match</t>
        </is>
      </c>
      <c r="E116" s="10" t="n">
        <v>1</v>
      </c>
    </row>
    <row r="117">
      <c r="A117" s="22" t="inlineStr">
        <is>
          <t>Strawberry</t>
        </is>
      </c>
      <c r="B117" s="22" t="inlineStr">
        <is>
          <t>Stems cut at soil level</t>
        </is>
      </c>
      <c r="C117" s="22" t="inlineStr">
        <is>
          <t>No pests match</t>
        </is>
      </c>
      <c r="D117" s="9" t="inlineStr">
        <is>
          <t>-</t>
        </is>
      </c>
      <c r="E117" s="9" t="n">
        <v>0</v>
      </c>
    </row>
    <row r="118">
      <c r="A118" s="4" t="inlineStr">
        <is>
          <t>Spinach</t>
        </is>
      </c>
      <c r="B118" s="4" t="inlineStr">
        <is>
          <t>Holes in leaves</t>
        </is>
      </c>
      <c r="C118" s="4" t="inlineStr">
        <is>
          <t>Slugs and Snails (Low)</t>
        </is>
      </c>
      <c r="D118" s="10" t="inlineStr">
        <is>
          <t>Low match</t>
        </is>
      </c>
      <c r="E118" s="10" t="n">
        <v>1</v>
      </c>
    </row>
    <row r="119">
      <c r="A119" s="22" t="inlineStr">
        <is>
          <t>Spinach</t>
        </is>
      </c>
      <c r="B119" s="22" t="inlineStr">
        <is>
          <t>Small insects on leaves</t>
        </is>
      </c>
      <c r="C119" s="22" t="inlineStr">
        <is>
          <t>No pests match</t>
        </is>
      </c>
      <c r="D119" s="9" t="inlineStr">
        <is>
          <t>-</t>
        </is>
      </c>
      <c r="E119" s="9" t="n">
        <v>0</v>
      </c>
    </row>
    <row r="120">
      <c r="A120" s="22" t="inlineStr">
        <is>
          <t>Spinach</t>
        </is>
      </c>
      <c r="B120" s="22" t="inlineStr">
        <is>
          <t>Caterpillars on leaves</t>
        </is>
      </c>
      <c r="C120" s="22" t="inlineStr">
        <is>
          <t>No pests match</t>
        </is>
      </c>
      <c r="D120" s="9" t="inlineStr">
        <is>
          <t>-</t>
        </is>
      </c>
      <c r="E120" s="9" t="n">
        <v>0</v>
      </c>
    </row>
    <row r="121">
      <c r="A121" s="22" t="inlineStr">
        <is>
          <t>Spinach</t>
        </is>
      </c>
      <c r="B121" s="22" t="inlineStr">
        <is>
          <t>Sticky residue</t>
        </is>
      </c>
      <c r="C121" s="22" t="inlineStr">
        <is>
          <t>No pests match</t>
        </is>
      </c>
      <c r="D121" s="9" t="inlineStr">
        <is>
          <t>-</t>
        </is>
      </c>
      <c r="E121" s="9" t="n">
        <v>0</v>
      </c>
    </row>
    <row r="122">
      <c r="A122" s="22" t="inlineStr">
        <is>
          <t>Spinach</t>
        </is>
      </c>
      <c r="B122" s="22" t="inlineStr">
        <is>
          <t>Black sooty mould</t>
        </is>
      </c>
      <c r="C122" s="22" t="inlineStr">
        <is>
          <t>No pests match</t>
        </is>
      </c>
      <c r="D122" s="9" t="inlineStr">
        <is>
          <t>-</t>
        </is>
      </c>
      <c r="E122" s="9" t="n">
        <v>0</v>
      </c>
    </row>
    <row r="123">
      <c r="A123" s="22" t="inlineStr">
        <is>
          <t>Spinach</t>
        </is>
      </c>
      <c r="B123" s="22" t="inlineStr">
        <is>
          <t>Curled or distorted leaves</t>
        </is>
      </c>
      <c r="C123" s="22" t="inlineStr">
        <is>
          <t>No pests match</t>
        </is>
      </c>
      <c r="D123" s="9" t="inlineStr">
        <is>
          <t>-</t>
        </is>
      </c>
      <c r="E123" s="9" t="n">
        <v>0</v>
      </c>
    </row>
    <row r="124">
      <c r="A124" s="22" t="inlineStr">
        <is>
          <t>Spinach</t>
        </is>
      </c>
      <c r="B124" s="22" t="inlineStr">
        <is>
          <t>Yellowing leaves</t>
        </is>
      </c>
      <c r="C124" s="22" t="inlineStr">
        <is>
          <t>No pests match</t>
        </is>
      </c>
      <c r="D124" s="9" t="inlineStr">
        <is>
          <t>-</t>
        </is>
      </c>
      <c r="E124" s="9" t="n">
        <v>0</v>
      </c>
    </row>
    <row r="125">
      <c r="A125" s="22" t="inlineStr">
        <is>
          <t>Spinach</t>
        </is>
      </c>
      <c r="B125" s="22" t="inlineStr">
        <is>
          <t>Mottled leaves</t>
        </is>
      </c>
      <c r="C125" s="22" t="inlineStr">
        <is>
          <t>No pests match</t>
        </is>
      </c>
      <c r="D125" s="9" t="inlineStr">
        <is>
          <t>-</t>
        </is>
      </c>
      <c r="E125" s="9" t="n">
        <v>0</v>
      </c>
    </row>
    <row r="126">
      <c r="A126" s="22" t="inlineStr">
        <is>
          <t>Spinach</t>
        </is>
      </c>
      <c r="B126" s="22" t="inlineStr">
        <is>
          <t>Silvery patches</t>
        </is>
      </c>
      <c r="C126" s="22" t="inlineStr">
        <is>
          <t>No pests match</t>
        </is>
      </c>
      <c r="D126" s="9" t="inlineStr">
        <is>
          <t>-</t>
        </is>
      </c>
      <c r="E126" s="9" t="n">
        <v>0</v>
      </c>
    </row>
    <row r="127">
      <c r="A127" s="22" t="inlineStr">
        <is>
          <t>Spinach</t>
        </is>
      </c>
      <c r="B127" s="22" t="inlineStr">
        <is>
          <t>Fine webbing</t>
        </is>
      </c>
      <c r="C127" s="22" t="inlineStr">
        <is>
          <t>No pests match</t>
        </is>
      </c>
      <c r="D127" s="9" t="inlineStr">
        <is>
          <t>-</t>
        </is>
      </c>
      <c r="E127" s="9" t="n">
        <v>0</v>
      </c>
    </row>
    <row r="128">
      <c r="A128" s="22" t="inlineStr">
        <is>
          <t>Spinach</t>
        </is>
      </c>
      <c r="B128" s="22" t="inlineStr">
        <is>
          <t>Stunted growth</t>
        </is>
      </c>
      <c r="C128" s="22" t="inlineStr">
        <is>
          <t>No pests match</t>
        </is>
      </c>
      <c r="D128" s="9" t="inlineStr">
        <is>
          <t>-</t>
        </is>
      </c>
      <c r="E128" s="9" t="n">
        <v>0</v>
      </c>
    </row>
    <row r="129">
      <c r="A129" s="22" t="inlineStr">
        <is>
          <t>Spinach</t>
        </is>
      </c>
      <c r="B129" s="22" t="inlineStr">
        <is>
          <t>Wilting</t>
        </is>
      </c>
      <c r="C129" s="22" t="inlineStr">
        <is>
          <t>No pests match</t>
        </is>
      </c>
      <c r="D129" s="9" t="inlineStr">
        <is>
          <t>-</t>
        </is>
      </c>
      <c r="E129" s="9" t="n">
        <v>0</v>
      </c>
    </row>
    <row r="130">
      <c r="A130" s="4" t="inlineStr">
        <is>
          <t>Spinach</t>
        </is>
      </c>
      <c r="B130" s="4" t="inlineStr">
        <is>
          <t>Tunnelled roots or tubers</t>
        </is>
      </c>
      <c r="C130" s="4" t="inlineStr">
        <is>
          <t>Slugs and Snails (Low)</t>
        </is>
      </c>
      <c r="D130" s="10" t="inlineStr">
        <is>
          <t>Low match</t>
        </is>
      </c>
      <c r="E130" s="10" t="n">
        <v>1</v>
      </c>
    </row>
    <row r="131">
      <c r="A131" s="22" t="inlineStr">
        <is>
          <t>Spinach</t>
        </is>
      </c>
      <c r="B131" s="22" t="inlineStr">
        <is>
          <t>Notched leaf edges</t>
        </is>
      </c>
      <c r="C131" s="22" t="inlineStr">
        <is>
          <t>No pests match</t>
        </is>
      </c>
      <c r="D131" s="9" t="inlineStr">
        <is>
          <t>-</t>
        </is>
      </c>
      <c r="E131" s="9" t="n">
        <v>0</v>
      </c>
    </row>
    <row r="132">
      <c r="A132" s="4" t="inlineStr">
        <is>
          <t>Spinach</t>
        </is>
      </c>
      <c r="B132" s="4" t="inlineStr">
        <is>
          <t>Slime trails</t>
        </is>
      </c>
      <c r="C132" s="4" t="inlineStr">
        <is>
          <t>Slugs and Snails (Low)</t>
        </is>
      </c>
      <c r="D132" s="10" t="inlineStr">
        <is>
          <t>Low match</t>
        </is>
      </c>
      <c r="E132" s="10" t="n">
        <v>1</v>
      </c>
    </row>
    <row r="133">
      <c r="A133" s="22" t="inlineStr">
        <is>
          <t>Spinach</t>
        </is>
      </c>
      <c r="B133" s="22" t="inlineStr">
        <is>
          <t>Stems cut at soil level</t>
        </is>
      </c>
      <c r="C133" s="22" t="inlineStr">
        <is>
          <t>No pests match</t>
        </is>
      </c>
      <c r="D133" s="9" t="inlineStr">
        <is>
          <t>-</t>
        </is>
      </c>
      <c r="E133" s="9"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5" customWidth="1" min="1" max="1"/>
    <col width="16" customWidth="1" min="2" max="2"/>
    <col width="90" customWidth="1" min="3" max="3"/>
    <col width="48" customWidth="1" min="4" max="4"/>
    <col width="22" customWidth="1" min="5" max="5"/>
    <col width="10" customWidth="1" min="6" max="6"/>
  </cols>
  <sheetData>
    <row r="1">
      <c r="A1" s="1" t="inlineStr">
        <is>
          <t>Work plan: who does what next</t>
        </is>
      </c>
    </row>
    <row r="3">
      <c r="A3" s="5" t="inlineStr">
        <is>
          <t>#</t>
        </is>
      </c>
      <c r="B3" s="5" t="inlineStr">
        <is>
          <t>Owner</t>
        </is>
      </c>
      <c r="C3" s="5" t="inlineStr">
        <is>
          <t>Task</t>
        </is>
      </c>
      <c r="D3" s="5" t="inlineStr">
        <is>
          <t>Why</t>
        </is>
      </c>
      <c r="E3" s="5" t="inlineStr">
        <is>
          <t>Status</t>
        </is>
      </c>
      <c r="F3" s="5" t="inlineStr">
        <is>
          <t>Priority</t>
        </is>
      </c>
    </row>
    <row r="4">
      <c r="A4" s="10" t="n">
        <v>1</v>
      </c>
      <c r="B4" s="4" t="inlineStr">
        <is>
          <t>Olu</t>
        </is>
      </c>
      <c r="C4" s="4" t="inlineStr">
        <is>
          <t>Size, colour and scientific group still empty where no source gives them. No separate verified file exists - that content is already merged into js/pests-data.js, leaving the fields blank on purpose.</t>
        </is>
      </c>
      <c r="D4" s="4" t="inlineStr">
        <is>
          <t>Draft text must not reach growers</t>
        </is>
      </c>
      <c r="E4" s="10" t="inlineStr">
        <is>
          <t>To do</t>
        </is>
      </c>
      <c r="F4" s="10" t="inlineStr">
        <is>
          <t>High</t>
        </is>
      </c>
    </row>
    <row r="5">
      <c r="A5" s="10" t="n">
        <v>2</v>
      </c>
      <c r="B5" s="4" t="inlineStr">
        <is>
          <t>Olu</t>
        </is>
      </c>
      <c r="C5" s="4" t="inlineStr">
        <is>
          <t>Check each of the 16 symptoms and 21 sources; correct anything the sources do not say</t>
        </is>
      </c>
      <c r="D5" s="4" t="inlineStr">
        <is>
          <t>Content owner sign-off</t>
        </is>
      </c>
      <c r="E5" s="10" t="inlineStr">
        <is>
          <t>To do</t>
        </is>
      </c>
      <c r="F5" s="10" t="inlineStr">
        <is>
          <t>High</t>
        </is>
      </c>
    </row>
    <row r="6">
      <c r="A6" s="10" t="n">
        <v>3</v>
      </c>
      <c r="B6" s="4" t="inlineStr">
        <is>
          <t>Olu</t>
        </is>
      </c>
      <c r="C6" s="4" t="inlineStr">
        <is>
          <t>Research a second Spinach pest, or accept thin coverage</t>
        </is>
      </c>
      <c r="D6" s="4" t="inlineStr">
        <is>
          <t>Spinach has one pest</t>
        </is>
      </c>
      <c r="E6" s="10" t="inlineStr">
        <is>
          <t>To do</t>
        </is>
      </c>
      <c r="F6" s="10" t="inlineStr">
        <is>
          <t>Medium</t>
        </is>
      </c>
    </row>
    <row r="7">
      <c r="A7" s="10" t="n">
        <v>4</v>
      </c>
      <c r="B7" s="4" t="inlineStr">
        <is>
          <t>Olu / Marvis</t>
        </is>
      </c>
      <c r="C7" s="4" t="inlineStr">
        <is>
          <t>Confirm photo licences and credits; replace non-open ones; eyeball every photo against its scientific name</t>
        </is>
      </c>
      <c r="D7" s="4" t="inlineStr">
        <is>
          <t>Public site needs permission and credit</t>
        </is>
      </c>
      <c r="E7" s="10" t="inlineStr">
        <is>
          <t>To do</t>
        </is>
      </c>
      <c r="F7" s="10" t="inlineStr">
        <is>
          <t>High</t>
        </is>
      </c>
    </row>
    <row r="8">
      <c r="A8" s="10" t="n">
        <v>5</v>
      </c>
      <c r="B8" s="4" t="inlineStr">
        <is>
          <t>Shafaqat</t>
        </is>
      </c>
      <c r="C8" s="4" t="inlineStr">
        <is>
          <t>allSymptoms updated to the 16 exact words</t>
        </is>
      </c>
      <c r="D8" s="4" t="inlineStr">
        <is>
          <t>Verified in tests: every pest symptom exists in allSymptoms.</t>
        </is>
      </c>
      <c r="E8" s="25" t="inlineStr">
        <is>
          <t>Done 14 Oct</t>
        </is>
      </c>
      <c r="F8" s="10" t="inlineStr">
        <is>
          <t>High</t>
        </is>
      </c>
    </row>
    <row r="9">
      <c r="A9" s="10" t="n">
        <v>6</v>
      </c>
      <c r="B9" s="4" t="inlineStr">
        <is>
          <t>Shafaqat</t>
        </is>
      </c>
      <c r="C9" s="4" t="inlineStr">
        <is>
          <t>Re-run tests/tests.html after the data change (README says 28)</t>
        </is>
      </c>
      <c r="D9" s="4" t="inlineStr">
        <is>
          <t>Catches misspelt crops and symptoms</t>
        </is>
      </c>
      <c r="E9" s="10" t="inlineStr">
        <is>
          <t>To do</t>
        </is>
      </c>
      <c r="F9" s="10" t="inlineStr">
        <is>
          <t>High</t>
        </is>
      </c>
    </row>
    <row r="10">
      <c r="A10" s="10" t="n">
        <v>7</v>
      </c>
      <c r="B10" s="4" t="inlineStr">
        <is>
          <t>Shafaqat</t>
        </is>
      </c>
      <c r="C10" s="4" t="inlineStr">
        <is>
          <t>Check cropIcons has all 8 crops, including Strawberry and Spinach</t>
        </is>
      </c>
      <c r="D10" s="4" t="inlineStr">
        <is>
          <t>Verified: Strawberry and Spinach both have icons, 8 of 8.</t>
        </is>
      </c>
      <c r="E10" s="25" t="inlineStr">
        <is>
          <t>Done 14 Oct</t>
        </is>
      </c>
      <c r="F10" s="10" t="inlineStr">
        <is>
          <t>High</t>
        </is>
      </c>
    </row>
    <row r="11">
      <c r="A11" s="10" t="n">
        <v>8</v>
      </c>
      <c r="B11" s="4" t="inlineStr">
        <is>
          <t>Shafaqat</t>
        </is>
      </c>
      <c r="C11" s="4" t="inlineStr">
        <is>
          <t>Review gallery.js: crop filter lists the 8 crops, type filter lists Insect, Mite, Mollusc, Nematode</t>
        </is>
      </c>
      <c r="D11" s="4" t="inlineStr">
        <is>
          <t>allTypes has 4 types including Nematode; the filter builds itself from that list.</t>
        </is>
      </c>
      <c r="E11" s="25" t="inlineStr">
        <is>
          <t>Done 14 Oct</t>
        </is>
      </c>
      <c r="F11" s="10" t="inlineStr">
        <is>
          <t>Medium</t>
        </is>
      </c>
    </row>
    <row r="12">
      <c r="A12" s="10" t="n">
        <v>9</v>
      </c>
      <c r="B12" s="4" t="inlineStr">
        <is>
          <t>Ike</t>
        </is>
      </c>
      <c r="C12" s="4" t="inlineStr">
        <is>
          <t>Icons for Strawberry and Spinach; check 16 tick boxes fit on a phone</t>
        </is>
      </c>
      <c r="D12" s="4" t="inlineStr">
        <is>
          <t>New crops and more symptoms</t>
        </is>
      </c>
      <c r="E12" s="10" t="inlineStr">
        <is>
          <t>To do</t>
        </is>
      </c>
      <c r="F12" s="10" t="inlineStr">
        <is>
          <t>High</t>
        </is>
      </c>
    </row>
    <row r="13">
      <c r="A13" s="10" t="n">
        <v>10</v>
      </c>
      <c r="B13" s="4" t="inlineStr">
        <is>
          <t>Kamran</t>
        </is>
      </c>
      <c r="C13" s="4" t="inlineStr">
        <is>
          <t>pest.html: show the look-alike panel for Wireworms; remove the draft note once verified</t>
        </is>
      </c>
      <c r="D13" s="4" t="inlineStr">
        <is>
          <t>Panel present and unhides only when a record has lookAlike.</t>
        </is>
      </c>
      <c r="E13" s="25" t="inlineStr">
        <is>
          <t>Done 14 Oct</t>
        </is>
      </c>
      <c r="F13" s="10" t="inlineStr">
        <is>
          <t>Medium</t>
        </is>
      </c>
    </row>
    <row r="14">
      <c r="A14" s="10" t="n">
        <v>11</v>
      </c>
      <c r="B14" s="4" t="inlineStr">
        <is>
          <t>Marvis</t>
        </is>
      </c>
      <c r="C14" s="4" t="inlineStr">
        <is>
          <t>Update README link to this workbook (v3 is out of date); update docs/data-fields.md and matching-rules.md</t>
        </is>
      </c>
      <c r="D14" s="4" t="inlineStr">
        <is>
          <t>Master workbook is now the main data file.</t>
        </is>
      </c>
      <c r="E14" s="25" t="inlineStr">
        <is>
          <t>Done 15 Oct</t>
        </is>
      </c>
      <c r="F14" s="10" t="inlineStr">
        <is>
          <t>Medium</t>
        </is>
      </c>
    </row>
    <row r="15">
      <c r="A15" s="10" t="n">
        <v>12</v>
      </c>
      <c r="B15" s="4" t="inlineStr">
        <is>
          <t>Everyone</t>
        </is>
      </c>
      <c r="C15" s="4" t="inlineStr">
        <is>
          <t>Learn the story of one click and be ready to explain it (viva)</t>
        </is>
      </c>
      <c r="D15" s="4" t="inlineStr">
        <is>
          <t>Shared viva preparation</t>
        </is>
      </c>
      <c r="E15" s="6" t="inlineStr">
        <is>
          <t>In progress</t>
        </is>
      </c>
      <c r="F15" s="10" t="inlineStr">
        <is>
          <t>Medium</t>
        </is>
      </c>
    </row>
    <row r="17">
      <c r="B17" s="2" t="inlineStr">
        <is>
          <t>Status options: To do / In progress / Done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24" customWidth="1" min="1" max="1"/>
    <col width="34" customWidth="1" min="2" max="2"/>
    <col width="48" customWidth="1" min="3" max="3"/>
    <col width="26" customWidth="1" min="4" max="4"/>
    <col width="70" customWidth="1" min="5" max="5"/>
  </cols>
  <sheetData>
    <row r="1">
      <c r="A1" s="1" t="inlineStr">
        <is>
          <t>Photos: credit and licence status</t>
        </is>
      </c>
    </row>
    <row r="2">
      <c r="A2" s="2" t="inlineStr">
        <is>
          <t>As recorded in the team photo sheet (13 October). Not independently verified. Look at every photo and compare it with the scientific name.</t>
        </is>
      </c>
    </row>
    <row r="3">
      <c r="A3" s="5" t="n"/>
      <c r="B3" s="5" t="n"/>
      <c r="C3" s="5" t="n"/>
      <c r="D3" s="5" t="n"/>
      <c r="E3" s="5" t="n"/>
    </row>
    <row r="4">
      <c r="A4" s="4" t="inlineStr">
        <is>
          <t>Pest</t>
        </is>
      </c>
      <c r="B4" s="4" t="inlineStr">
        <is>
          <t>Scientific name</t>
        </is>
      </c>
      <c r="C4" s="4" t="inlineStr">
        <is>
          <t>Licence and credit (as recorded)</t>
        </is>
      </c>
      <c r="D4" s="24" t="inlineStr">
        <is>
          <t>Status</t>
        </is>
      </c>
      <c r="E4" s="4" t="inlineStr">
        <is>
          <t>Check before publishing</t>
        </is>
      </c>
    </row>
    <row r="5">
      <c r="A5" s="4" t="inlineStr">
        <is>
          <t>Aphids</t>
        </is>
      </c>
      <c r="B5" s="4" t="inlineStr">
        <is>
          <t>Aphidoidea</t>
        </is>
      </c>
      <c r="C5" s="4" t="inlineStr">
        <is>
          <t>CC BY-SA 2.5 - Andre Karwath</t>
        </is>
      </c>
      <c r="D5" s="22" t="inlineStr">
        <is>
          <t>Open licence, credit needed</t>
        </is>
      </c>
      <c r="E5" s="4" t="inlineStr">
        <is>
          <t>Share-alike: credit and keep the same licence for the photo</t>
        </is>
      </c>
    </row>
    <row r="6">
      <c r="A6" s="4" t="inlineStr">
        <is>
          <t>Mealy Cabbage Aphid</t>
        </is>
      </c>
      <c r="B6" s="4" t="inlineStr">
        <is>
          <t>Brevicoryne brassicae</t>
        </is>
      </c>
      <c r="C6" s="4" t="inlineStr">
        <is>
          <t>Educational, credit expected - UMass Amherst</t>
        </is>
      </c>
      <c r="D6" s="24" t="inlineStr">
        <is>
          <t>NOT an open licence</t>
        </is>
      </c>
      <c r="E6" s="4" t="inlineStr">
        <is>
          <t>Ask permission or replace</t>
        </is>
      </c>
    </row>
    <row r="7">
      <c r="A7" s="4" t="inlineStr">
        <is>
          <t>Glasshouse Whitefly</t>
        </is>
      </c>
      <c r="B7" s="4" t="inlineStr">
        <is>
          <t>Trialeurodes vaporariorum</t>
        </is>
      </c>
      <c r="C7" s="4" t="inlineStr">
        <is>
          <t>CC BY-SA 4.0 - Dr. Guido Bohne</t>
        </is>
      </c>
      <c r="D7" s="24" t="inlineStr">
        <is>
          <t>Open licence, credit needed</t>
        </is>
      </c>
      <c r="E7" s="4" t="inlineStr"/>
    </row>
    <row r="8">
      <c r="A8" s="4" t="inlineStr">
        <is>
          <t>Cabbage Caterpillars</t>
        </is>
      </c>
      <c r="B8" s="4" t="inlineStr">
        <is>
          <t>Pieris brassicae, P. rapae, P. napi, Mamestra brassicae, Plutella xylostella</t>
        </is>
      </c>
      <c r="C8" s="4" t="inlineStr">
        <is>
          <t>CC BY-SA 4.0 - Didier Descouens</t>
        </is>
      </c>
      <c r="D8" s="24" t="inlineStr">
        <is>
          <t>Open licence, credit needed</t>
        </is>
      </c>
      <c r="E8" s="4" t="inlineStr">
        <is>
          <t>Species shown is Pieris brassicae (one of the five we list)</t>
        </is>
      </c>
    </row>
    <row r="9">
      <c r="A9" s="4" t="inlineStr">
        <is>
          <t>Cabbage Root Fly</t>
        </is>
      </c>
      <c r="B9" s="4" t="inlineStr">
        <is>
          <t>Delia radicum</t>
        </is>
      </c>
      <c r="C9" s="4" t="inlineStr">
        <is>
          <t>CC BY 4.0 - Schlaghecken Josef</t>
        </is>
      </c>
      <c r="D9" s="26" t="inlineStr">
        <is>
          <t>Open licence, credit needed</t>
        </is>
      </c>
      <c r="E9" s="4" t="inlineStr"/>
    </row>
    <row r="10">
      <c r="A10" s="4" t="inlineStr">
        <is>
          <t>Red Spider Mite</t>
        </is>
      </c>
      <c r="B10" s="4" t="inlineStr">
        <is>
          <t>Tetranychus urticae</t>
        </is>
      </c>
      <c r="C10" s="4" t="inlineStr">
        <is>
          <t>Pexels License</t>
        </is>
      </c>
      <c r="D10" s="24" t="inlineStr">
        <is>
          <t>Free to use</t>
        </is>
      </c>
      <c r="E10" s="4" t="inlineStr">
        <is>
          <t>No credit required</t>
        </is>
      </c>
    </row>
    <row r="11">
      <c r="A11" s="4" t="inlineStr">
        <is>
          <t>Thrips</t>
        </is>
      </c>
      <c r="B11" s="4" t="inlineStr">
        <is>
          <t>Order Thysanoptera</t>
        </is>
      </c>
      <c r="C11" s="4" t="inlineStr">
        <is>
          <t>CC BY-SA 4.0 - Dave Kirkeby</t>
        </is>
      </c>
      <c r="D11" s="24" t="inlineStr">
        <is>
          <t>Open licence, credit needed</t>
        </is>
      </c>
      <c r="E11" s="4" t="inlineStr">
        <is>
          <t>Replaced 15 Oct. Was a numbered figure plate from a paper, which no grower would recognise.</t>
        </is>
      </c>
    </row>
    <row r="12">
      <c r="A12" s="4" t="inlineStr">
        <is>
          <t>Slugs and Snails</t>
        </is>
      </c>
      <c r="B12" s="4" t="inlineStr">
        <is>
          <t>Genera Arion, Cornu, Deroceras, Limacus</t>
        </is>
      </c>
      <c r="C12" s="4" t="inlineStr">
        <is>
          <t>CC BY-SA 4.0 - Rubbish computer</t>
        </is>
      </c>
      <c r="D12" s="24" t="inlineStr">
        <is>
          <t>Open licence, credit needed</t>
        </is>
      </c>
      <c r="E12" s="4" t="inlineStr">
        <is>
          <t>Shows a slug only</t>
        </is>
      </c>
    </row>
    <row r="13">
      <c r="A13" s="4" t="inlineStr">
        <is>
          <t>Wireworms</t>
        </is>
      </c>
      <c r="B13" s="4" t="inlineStr">
        <is>
          <t>Genus Agriotes</t>
        </is>
      </c>
      <c r="C13" s="4" t="inlineStr">
        <is>
          <t>CC0 - ZATRIPPIT</t>
        </is>
      </c>
      <c r="D13" s="22" t="inlineStr">
        <is>
          <t>Public domain (CC0)</t>
        </is>
      </c>
      <c r="E13" s="4" t="inlineStr">
        <is>
          <t>Replaced 15 Oct. Was a 1900s line-drawing plate. This shows the pale larva in soil.</t>
        </is>
      </c>
    </row>
    <row r="14">
      <c r="A14" s="4" t="inlineStr">
        <is>
          <t>Potato Cyst Nematodes</t>
        </is>
      </c>
      <c r="B14" s="4" t="inlineStr">
        <is>
          <t>Globodera rostochiensis and G. pallida</t>
        </is>
      </c>
      <c r="C14" s="4" t="inlineStr">
        <is>
          <t>Government, credit expected - Business Queensland</t>
        </is>
      </c>
      <c r="D14" s="24" t="inlineStr">
        <is>
          <t>NOT confirmed open</t>
        </is>
      </c>
      <c r="E14" s="4" t="inlineStr">
        <is>
          <t>Photo shows cysts on roots. Check the photo rights, which are separate from the page. Australian source</t>
        </is>
      </c>
    </row>
    <row r="15">
      <c r="A15" s="4" t="inlineStr">
        <is>
          <t>Vine Weevil</t>
        </is>
      </c>
      <c r="B15" s="4" t="inlineStr">
        <is>
          <t>Otiorhynchus sulcatus</t>
        </is>
      </c>
      <c r="C15" s="4" t="inlineStr">
        <is>
          <t>CC BY 4.0 - Manaaki Whenua</t>
        </is>
      </c>
      <c r="D15" s="24" t="inlineStr">
        <is>
          <t>Open licence, credit needed</t>
        </is>
      </c>
      <c r="E15" s="4" t="inlineStr">
        <is>
          <t>Adult</t>
        </is>
      </c>
    </row>
    <row r="16">
      <c r="A16" t="inlineStr">
        <is>
          <t>Cutworms</t>
        </is>
      </c>
      <c r="B16" t="inlineStr">
        <is>
          <t>Agrotis segetum</t>
        </is>
      </c>
      <c r="C16" t="inlineStr">
        <is>
          <t>CC BY 3.0 US - W.M. Hantsbarger, Bugwood.org</t>
        </is>
      </c>
      <c r="D16" t="inlineStr">
        <is>
          <t>Open licence, credit needed</t>
        </is>
      </c>
      <c r="E16" t="inlineStr">
        <is>
          <t>Genus level</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6" customWidth="1" min="1" max="1"/>
    <col width="60" customWidth="1" min="2" max="2"/>
    <col width="90" customWidth="1" min="3" max="3"/>
    <col width="20" customWidth="1" min="4" max="4"/>
  </cols>
  <sheetData>
    <row r="1">
      <c r="A1" s="1" t="inlineStr">
        <is>
          <t>References (Harvard style)</t>
        </is>
      </c>
    </row>
    <row r="3">
      <c r="A3" s="5" t="inlineStr">
        <is>
          <t>Ref</t>
        </is>
      </c>
      <c r="B3" s="5" t="inlineStr">
        <is>
          <t>Source</t>
        </is>
      </c>
      <c r="C3" s="5" t="inlineStr">
        <is>
          <t>Link</t>
        </is>
      </c>
      <c r="D3" s="5" t="inlineStr">
        <is>
          <t>Accessed</t>
        </is>
      </c>
    </row>
    <row r="4">
      <c r="A4" s="10" t="n">
        <v>1</v>
      </c>
      <c r="B4" s="4" t="inlineStr">
        <is>
          <t>Royal Horticultural Society (n.d.) Aphids.</t>
        </is>
      </c>
      <c r="C4" s="4" t="inlineStr">
        <is>
          <t>https://www.rhs.org.uk/biodiversity/aphids</t>
        </is>
      </c>
      <c r="D4" s="10" t="inlineStr">
        <is>
          <t>13-14 October 2026</t>
        </is>
      </c>
    </row>
    <row r="5">
      <c r="A5" s="10" t="n">
        <v>2</v>
      </c>
      <c r="B5" s="4" t="inlineStr">
        <is>
          <t>Royal Horticultural Society (n.d.) Mealy cabbage aphid.</t>
        </is>
      </c>
      <c r="C5" s="4" t="inlineStr">
        <is>
          <t>https://www.rhs.org.uk/biodiversity/mealy-cabbage-aphid</t>
        </is>
      </c>
      <c r="D5" s="10" t="inlineStr">
        <is>
          <t>13-14 October 2026</t>
        </is>
      </c>
    </row>
    <row r="6">
      <c r="A6" s="10" t="n">
        <v>3</v>
      </c>
      <c r="B6" s="4" t="inlineStr">
        <is>
          <t>Royal Horticultural Society (n.d.) Glasshouse whitefly.</t>
        </is>
      </c>
      <c r="C6" s="4" t="inlineStr">
        <is>
          <t>https://www.rhs.org.uk/biodiversity/glasshouse-whitefly</t>
        </is>
      </c>
      <c r="D6" s="10" t="inlineStr">
        <is>
          <t>13-14 October 2026</t>
        </is>
      </c>
    </row>
    <row r="7">
      <c r="A7" s="10" t="n">
        <v>4</v>
      </c>
      <c r="B7" s="4" t="inlineStr">
        <is>
          <t>Royal Horticultural Society (n.d.) Cabbage caterpillars.</t>
        </is>
      </c>
      <c r="C7" s="4" t="inlineStr">
        <is>
          <t>https://www.rhs.org.uk/biodiversity/cabbage-caterpillars</t>
        </is>
      </c>
      <c r="D7" s="10" t="inlineStr">
        <is>
          <t>13-14 October 2026</t>
        </is>
      </c>
    </row>
    <row r="8">
      <c r="A8" s="10" t="n">
        <v>5</v>
      </c>
      <c r="B8" s="4" t="inlineStr">
        <is>
          <t>Royal Horticultural Society (n.d.) Cabbage root fly.</t>
        </is>
      </c>
      <c r="C8" s="4" t="inlineStr">
        <is>
          <t>https://www.rhs.org.uk/biodiversity/cabbage-root-fly</t>
        </is>
      </c>
      <c r="D8" s="10" t="inlineStr">
        <is>
          <t>13-14 October 2026</t>
        </is>
      </c>
    </row>
    <row r="9">
      <c r="A9" s="10" t="n">
        <v>6</v>
      </c>
      <c r="B9" s="4" t="inlineStr">
        <is>
          <t>Royal Horticultural Society (n.d.) Glasshouse red spider mite.</t>
        </is>
      </c>
      <c r="C9" s="4" t="inlineStr">
        <is>
          <t>https://www.rhs.org.uk/biodiversity/glasshouse-red-spider-mite</t>
        </is>
      </c>
      <c r="D9" s="10" t="inlineStr">
        <is>
          <t>13-14 October 2026</t>
        </is>
      </c>
    </row>
    <row r="10">
      <c r="A10" s="10" t="n">
        <v>7</v>
      </c>
      <c r="B10" s="4" t="inlineStr">
        <is>
          <t>Royal Horticultural Society (n.d.) Thrips.</t>
        </is>
      </c>
      <c r="C10" s="4" t="inlineStr">
        <is>
          <t>https://www.rhs.org.uk/biodiversity/thrips</t>
        </is>
      </c>
      <c r="D10" s="10" t="inlineStr">
        <is>
          <t>13-14 October 2026</t>
        </is>
      </c>
    </row>
    <row r="11">
      <c r="A11" s="10" t="n">
        <v>8</v>
      </c>
      <c r="B11" s="4" t="inlineStr">
        <is>
          <t>Royal Horticultural Society (n.d.) Slugs and snails.</t>
        </is>
      </c>
      <c r="C11" s="4" t="inlineStr">
        <is>
          <t>https://www.rhs.org.uk/biodiversity/slugs-and-snails</t>
        </is>
      </c>
      <c r="D11" s="10" t="inlineStr">
        <is>
          <t>13-14 October 2026</t>
        </is>
      </c>
    </row>
    <row r="12">
      <c r="A12" s="10" t="n">
        <v>9</v>
      </c>
      <c r="B12" s="4" t="inlineStr">
        <is>
          <t>Royal Horticultural Society (n.d.) Wireworms.</t>
        </is>
      </c>
      <c r="C12" s="4" t="inlineStr">
        <is>
          <t>https://www.rhs.org.uk/biodiversity/wireworms</t>
        </is>
      </c>
      <c r="D12" s="10" t="inlineStr">
        <is>
          <t>13-14 October 2026</t>
        </is>
      </c>
    </row>
    <row r="13">
      <c r="A13" s="10" t="n">
        <v>10</v>
      </c>
      <c r="B13" s="4" t="inlineStr">
        <is>
          <t>Royal Horticultural Society (n.d.) Potato cyst nematodes.</t>
        </is>
      </c>
      <c r="C13" s="4" t="inlineStr">
        <is>
          <t>https://www.rhs.org.uk/biodiversity/potato-cyst-nematodes</t>
        </is>
      </c>
      <c r="D13" s="10" t="inlineStr">
        <is>
          <t>13-14 October 2026</t>
        </is>
      </c>
    </row>
    <row r="14">
      <c r="A14" s="10" t="n">
        <v>11</v>
      </c>
      <c r="B14" s="4" t="inlineStr">
        <is>
          <t>Royal Horticultural Society (n.d.) Vine weevil.</t>
        </is>
      </c>
      <c r="C14" s="4" t="inlineStr">
        <is>
          <t>https://www.rhs.org.uk/biodiversity/vine-weevil</t>
        </is>
      </c>
      <c r="D14" s="10" t="inlineStr">
        <is>
          <t>13-14 October 2026</t>
        </is>
      </c>
    </row>
    <row r="15">
      <c r="A15" s="10" t="n">
        <v>12</v>
      </c>
      <c r="B15" s="4" t="inlineStr">
        <is>
          <t>Royal Horticultural Society (n.d.) Fruit aphids.</t>
        </is>
      </c>
      <c r="C15" s="4" t="inlineStr">
        <is>
          <t>https://www.rhs.org.uk/biodiversity/fruit-aphids</t>
        </is>
      </c>
      <c r="D15" s="10" t="inlineStr">
        <is>
          <t>13-14 October 2026</t>
        </is>
      </c>
    </row>
    <row r="16">
      <c r="A16" s="10" t="n">
        <v>13</v>
      </c>
      <c r="B16" s="4" t="inlineStr">
        <is>
          <t>Royal Horticultural Society (n.d.) How to grow tomatoes.</t>
        </is>
      </c>
      <c r="C16" s="4" t="inlineStr">
        <is>
          <t>https://www.rhs.org.uk/vegetables/tomatoes/grow-your-own</t>
        </is>
      </c>
      <c r="D16" s="10" t="inlineStr">
        <is>
          <t>13-14 October 2026</t>
        </is>
      </c>
    </row>
    <row r="17">
      <c r="A17" s="10" t="n">
        <v>14</v>
      </c>
      <c r="B17" s="4" t="inlineStr">
        <is>
          <t>Royal Horticultural Society (n.d.) How to grow cabbages.</t>
        </is>
      </c>
      <c r="C17" s="4" t="inlineStr">
        <is>
          <t>https://www.rhs.org.uk/vegetables/cabbages/grow-your-own</t>
        </is>
      </c>
      <c r="D17" s="10" t="inlineStr">
        <is>
          <t>13-14 October 2026</t>
        </is>
      </c>
    </row>
    <row r="18">
      <c r="A18" s="10" t="n">
        <v>15</v>
      </c>
      <c r="B18" s="4" t="inlineStr">
        <is>
          <t>Royal Horticultural Society (n.d.) How to grow potatoes.</t>
        </is>
      </c>
      <c r="C18" s="4" t="inlineStr">
        <is>
          <t>https://www.rhs.org.uk/vegetables/potatoes/grow-your-own</t>
        </is>
      </c>
      <c r="D18" s="10" t="inlineStr">
        <is>
          <t>13-14 October 2026</t>
        </is>
      </c>
    </row>
    <row r="19">
      <c r="A19" s="10" t="n">
        <v>16</v>
      </c>
      <c r="B19" s="4" t="inlineStr">
        <is>
          <t>Royal Horticultural Society (n.d.) How to grow lettuces.</t>
        </is>
      </c>
      <c r="C19" s="4" t="inlineStr">
        <is>
          <t>https://www.rhs.org.uk/vegetables/lettuce/grow-your-own</t>
        </is>
      </c>
      <c r="D19" s="10" t="inlineStr">
        <is>
          <t>13-14 October 2026</t>
        </is>
      </c>
    </row>
    <row r="20">
      <c r="A20" s="10" t="n">
        <v>17</v>
      </c>
      <c r="B20" s="4" t="inlineStr">
        <is>
          <t>Royal Horticultural Society (n.d.) How to grow chilli peppers.</t>
        </is>
      </c>
      <c r="C20" s="4" t="inlineStr">
        <is>
          <t>https://www.rhs.org.uk/vegetables/chilli-pepper/grow-your-own</t>
        </is>
      </c>
      <c r="D20" s="10" t="inlineStr">
        <is>
          <t>13-14 October 2026</t>
        </is>
      </c>
    </row>
    <row r="21">
      <c r="A21" s="10" t="n">
        <v>18</v>
      </c>
      <c r="B21" s="4" t="inlineStr">
        <is>
          <t>Royal Horticultural Society (n.d.) How to grow cucumbers.</t>
        </is>
      </c>
      <c r="C21" s="4" t="inlineStr">
        <is>
          <t>https://www.rhs.org.uk/vegetables/cucumbers/grow-your-own</t>
        </is>
      </c>
      <c r="D21" s="10" t="inlineStr">
        <is>
          <t>13-14 October 2026</t>
        </is>
      </c>
    </row>
    <row r="22">
      <c r="A22" s="10" t="n">
        <v>19</v>
      </c>
      <c r="B22" s="4" t="inlineStr">
        <is>
          <t>Royal Horticultural Society (n.d.) How to grow strawberries.</t>
        </is>
      </c>
      <c r="C22" s="4" t="inlineStr">
        <is>
          <t>https://www.rhs.org.uk/fruit/strawberries/grow-your-own</t>
        </is>
      </c>
      <c r="D22" s="10" t="inlineStr">
        <is>
          <t>13-14 October 2026</t>
        </is>
      </c>
    </row>
    <row r="23">
      <c r="A23" s="10" t="n">
        <v>20</v>
      </c>
      <c r="B23" s="4" t="inlineStr">
        <is>
          <t>Royal Horticultural Society (n.d.) How to grow spinach.</t>
        </is>
      </c>
      <c r="C23" s="4" t="inlineStr">
        <is>
          <t>https://www.rhs.org.uk/vegetables/spinach/grow-your-own</t>
        </is>
      </c>
      <c r="D23" s="10" t="inlineStr">
        <is>
          <t>13-14 October 2026</t>
        </is>
      </c>
    </row>
    <row r="24">
      <c r="A24" s="10" t="n">
        <v>21</v>
      </c>
      <c r="B24" s="4" t="inlineStr">
        <is>
          <t>Royal Horticultural Society (n.d.) Cutworms.</t>
        </is>
      </c>
      <c r="C24" s="4" t="inlineStr">
        <is>
          <t>https://www.rhs.org.uk/biodiversity/cutworms</t>
        </is>
      </c>
      <c r="D24" s="10" t="inlineStr">
        <is>
          <t>13-14 October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2026-10-14T09:31:07Z</dcterms:created>
  <dcterms:modified xsi:type="dcterms:W3CDTF">2026-10-14T11:23:17Z</dcterms:modified>
</cp:coreProperties>
</file>